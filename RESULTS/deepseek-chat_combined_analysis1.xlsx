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RESULTS\"/>
    </mc:Choice>
  </mc:AlternateContent>
  <bookViews>
    <workbookView xWindow="0" yWindow="0" windowWidth="19200" windowHeight="6350" activeTab="1"/>
  </bookViews>
  <sheets>
    <sheet name="Sheet1" sheetId="1" r:id="rId1"/>
    <sheet name="Sheet2" sheetId="5" r:id="rId2"/>
    <sheet name="Context_Summary" sheetId="2" r:id="rId3"/>
    <sheet name="Criterion_Comparison" sheetId="3" r:id="rId4"/>
    <sheet name="Context_Impact" sheetId="4" r:id="rId5"/>
  </sheets>
  <calcPr calcId="162913"/>
</workbook>
</file>

<file path=xl/calcChain.xml><?xml version="1.0" encoding="utf-8"?>
<calcChain xmlns="http://schemas.openxmlformats.org/spreadsheetml/2006/main">
  <c r="K13" i="5" l="1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L12" i="5"/>
  <c r="M12" i="5"/>
  <c r="K12" i="5"/>
  <c r="I7" i="5"/>
  <c r="H3" i="5"/>
  <c r="I3" i="5" s="1"/>
  <c r="H4" i="5"/>
  <c r="I4" i="5" s="1"/>
  <c r="H5" i="5"/>
  <c r="I5" i="5" s="1"/>
  <c r="H6" i="5"/>
  <c r="I6" i="5" s="1"/>
  <c r="H7" i="5"/>
  <c r="H8" i="5"/>
  <c r="I8" i="5" s="1"/>
  <c r="H9" i="5"/>
  <c r="I9" i="5" s="1"/>
  <c r="H10" i="5"/>
  <c r="H2" i="5"/>
  <c r="I2" i="5" s="1"/>
  <c r="G5" i="5"/>
  <c r="K5" i="5" s="1"/>
  <c r="F3" i="5"/>
  <c r="G3" i="5" s="1"/>
  <c r="F4" i="5"/>
  <c r="G4" i="5" s="1"/>
  <c r="F5" i="5"/>
  <c r="F6" i="5"/>
  <c r="G6" i="5" s="1"/>
  <c r="F7" i="5"/>
  <c r="G7" i="5" s="1"/>
  <c r="F8" i="5"/>
  <c r="G8" i="5" s="1"/>
  <c r="F9" i="5"/>
  <c r="G9" i="5" s="1"/>
  <c r="F2" i="5"/>
  <c r="G2" i="5" s="1"/>
  <c r="C10" i="5"/>
  <c r="F10" i="5" s="1"/>
  <c r="G10" i="5" s="1"/>
  <c r="D10" i="5"/>
  <c r="E10" i="5"/>
  <c r="B10" i="5"/>
  <c r="I10" i="5" s="1"/>
  <c r="S2" i="1"/>
  <c r="T2" i="1"/>
  <c r="U2" i="1"/>
  <c r="V2" i="1"/>
  <c r="S3" i="1"/>
  <c r="T3" i="1"/>
  <c r="U3" i="1"/>
  <c r="V3" i="1"/>
  <c r="S4" i="1"/>
  <c r="T4" i="1"/>
  <c r="U4" i="1"/>
  <c r="V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" i="1"/>
  <c r="K7" i="5" l="1"/>
  <c r="J7" i="5"/>
  <c r="K6" i="5"/>
  <c r="J6" i="5"/>
  <c r="L6" i="5" s="1"/>
  <c r="K4" i="5"/>
  <c r="J4" i="5"/>
  <c r="L4" i="5" s="1"/>
  <c r="K10" i="5"/>
  <c r="J10" i="5"/>
  <c r="L10" i="5" s="1"/>
  <c r="K3" i="5"/>
  <c r="J3" i="5"/>
  <c r="L3" i="5" s="1"/>
  <c r="K2" i="5"/>
  <c r="J2" i="5"/>
  <c r="L2" i="5" s="1"/>
  <c r="J9" i="5"/>
  <c r="K9" i="5"/>
  <c r="K8" i="5"/>
  <c r="J8" i="5"/>
  <c r="L8" i="5" s="1"/>
  <c r="J5" i="5"/>
  <c r="L5" i="5" s="1"/>
  <c r="L7" i="5" l="1"/>
  <c r="L9" i="5"/>
</calcChain>
</file>

<file path=xl/sharedStrings.xml><?xml version="1.0" encoding="utf-8"?>
<sst xmlns="http://schemas.openxmlformats.org/spreadsheetml/2006/main" count="203" uniqueCount="38">
  <si>
    <t>LLM</t>
  </si>
  <si>
    <t>Criterion</t>
  </si>
  <si>
    <t>precision</t>
  </si>
  <si>
    <t>recall</t>
  </si>
  <si>
    <t>f1</t>
  </si>
  <si>
    <t>accuracy</t>
  </si>
  <si>
    <t>n_samples</t>
  </si>
  <si>
    <t>Context</t>
  </si>
  <si>
    <t>deepseek-chat</t>
  </si>
  <si>
    <t>Atomic</t>
  </si>
  <si>
    <t>Minimal</t>
  </si>
  <si>
    <t>Conceptually sound</t>
  </si>
  <si>
    <t>Estimable</t>
  </si>
  <si>
    <t>Full sentence</t>
  </si>
  <si>
    <t>Problem-oriented</t>
  </si>
  <si>
    <t>Unambiguous</t>
  </si>
  <si>
    <t>Well-formed</t>
  </si>
  <si>
    <t>Overall</t>
  </si>
  <si>
    <t>Rich</t>
  </si>
  <si>
    <t>ΔF1 (Rich - Minimal)</t>
  </si>
  <si>
    <t>ΔAccuracy (Rich - Minimal)</t>
  </si>
  <si>
    <t>Confusion Matrix for Conceptually sound:</t>
  </si>
  <si>
    <t>Confusion Matrix for Estimable:</t>
  </si>
  <si>
    <t>Confusion Matrix for Full sentence:</t>
  </si>
  <si>
    <t>Confusion Matrix for Minimal:</t>
  </si>
  <si>
    <t>Confusion Matrix for Problem-oriented:</t>
  </si>
  <si>
    <t>Confusion Matrix for Unambiguous:</t>
  </si>
  <si>
    <t>Confusion Matrix for Well-formed:</t>
  </si>
  <si>
    <t>Confusion Matrix for Atomic:</t>
  </si>
  <si>
    <t xml:space="preserve"> TN</t>
  </si>
  <si>
    <t xml:space="preserve"> FN</t>
  </si>
  <si>
    <t xml:space="preserve"> FP</t>
  </si>
  <si>
    <t>TP</t>
  </si>
  <si>
    <t>TP+FP</t>
  </si>
  <si>
    <t>Precision</t>
  </si>
  <si>
    <t>Recall</t>
  </si>
  <si>
    <t>TP+FN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</si>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</sst>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selection activeCell="L2" sqref="L2:O10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2" x14ac:dyDescent="0.35">
      <c r="A2" t="s">
        <v>8</v>
      </c>
      <c r="B2" t="s">
        <v>9</v>
      </c>
      <c r="C2">
        <v>0.98199999999999998</v>
      </c>
      <c r="D2">
        <v>0.88700000000000001</v>
      </c>
      <c r="E2">
        <v>0.93200000000000005</v>
      </c>
      <c r="F2">
        <v>0.93300000000000005</v>
      </c>
      <c r="G2">
        <v>120</v>
      </c>
      <c r="H2" t="s">
        <v>10</v>
      </c>
      <c r="J2" t="s">
        <v>8</v>
      </c>
      <c r="K2" t="s">
        <v>9</v>
      </c>
      <c r="L2">
        <v>0.98199999999999998</v>
      </c>
      <c r="M2">
        <v>0.88700000000000001</v>
      </c>
      <c r="N2">
        <v>0.93200000000000005</v>
      </c>
      <c r="O2">
        <v>0.93300000000000005</v>
      </c>
      <c r="P2">
        <v>120</v>
      </c>
      <c r="R2">
        <f>C2-L2</f>
        <v>0</v>
      </c>
      <c r="S2">
        <f t="shared" ref="S2:V17" si="0">D2-M2</f>
        <v>0</v>
      </c>
      <c r="T2">
        <f t="shared" si="0"/>
        <v>0</v>
      </c>
      <c r="U2">
        <f t="shared" si="0"/>
        <v>0</v>
      </c>
      <c r="V2">
        <f t="shared" si="0"/>
        <v>0</v>
      </c>
    </row>
    <row r="3" spans="1:22" x14ac:dyDescent="0.35">
      <c r="A3" t="s">
        <v>8</v>
      </c>
      <c r="B3" t="s">
        <v>11</v>
      </c>
      <c r="C3">
        <v>0.98399999999999999</v>
      </c>
      <c r="D3">
        <v>0.98399999999999999</v>
      </c>
      <c r="E3">
        <v>0.98399999999999999</v>
      </c>
      <c r="F3">
        <v>0.98299999999999998</v>
      </c>
      <c r="G3">
        <v>120</v>
      </c>
      <c r="H3" t="s">
        <v>10</v>
      </c>
      <c r="J3" t="s">
        <v>8</v>
      </c>
      <c r="K3" t="s">
        <v>11</v>
      </c>
      <c r="L3">
        <v>0.98399999999999999</v>
      </c>
      <c r="M3">
        <v>0.98399999999999999</v>
      </c>
      <c r="N3">
        <v>0.98399999999999999</v>
      </c>
      <c r="O3">
        <v>0.98299999999999998</v>
      </c>
      <c r="P3">
        <v>120</v>
      </c>
      <c r="R3">
        <f t="shared" ref="R3:R28" si="1">C3-L3</f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</row>
    <row r="4" spans="1:22" x14ac:dyDescent="0.35">
      <c r="A4" t="s">
        <v>8</v>
      </c>
      <c r="B4" t="s">
        <v>12</v>
      </c>
      <c r="C4">
        <v>0.96699999999999997</v>
      </c>
      <c r="D4">
        <v>0.89400000000000002</v>
      </c>
      <c r="E4">
        <v>0.92900000000000005</v>
      </c>
      <c r="F4">
        <v>0.92500000000000004</v>
      </c>
      <c r="G4">
        <v>120</v>
      </c>
      <c r="H4" t="s">
        <v>10</v>
      </c>
      <c r="J4" t="s">
        <v>8</v>
      </c>
      <c r="K4" t="s">
        <v>12</v>
      </c>
      <c r="L4">
        <v>0.96699999999999997</v>
      </c>
      <c r="M4">
        <v>0.89400000000000002</v>
      </c>
      <c r="N4">
        <v>0.92900000000000005</v>
      </c>
      <c r="O4">
        <v>0.92500000000000004</v>
      </c>
      <c r="P4">
        <v>120</v>
      </c>
      <c r="R4">
        <f t="shared" si="1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</row>
    <row r="5" spans="1:22" x14ac:dyDescent="0.35">
      <c r="A5" t="s">
        <v>8</v>
      </c>
      <c r="B5" t="s">
        <v>13</v>
      </c>
      <c r="C5">
        <v>1</v>
      </c>
      <c r="D5">
        <v>1</v>
      </c>
      <c r="E5">
        <v>1</v>
      </c>
      <c r="F5">
        <v>1</v>
      </c>
      <c r="G5">
        <v>120</v>
      </c>
      <c r="H5" t="s">
        <v>10</v>
      </c>
      <c r="J5" t="s">
        <v>8</v>
      </c>
      <c r="K5" t="s">
        <v>13</v>
      </c>
      <c r="L5">
        <v>1</v>
      </c>
      <c r="M5">
        <v>1</v>
      </c>
      <c r="N5">
        <v>1</v>
      </c>
      <c r="O5">
        <v>1</v>
      </c>
      <c r="P5">
        <v>120</v>
      </c>
      <c r="R5">
        <f t="shared" si="1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</row>
    <row r="6" spans="1:22" x14ac:dyDescent="0.35">
      <c r="A6" t="s">
        <v>8</v>
      </c>
      <c r="B6" t="s">
        <v>10</v>
      </c>
      <c r="C6">
        <v>1</v>
      </c>
      <c r="D6">
        <v>0.84399999999999997</v>
      </c>
      <c r="E6">
        <v>0.91600000000000004</v>
      </c>
      <c r="F6">
        <v>0.88300000000000001</v>
      </c>
      <c r="G6">
        <v>120</v>
      </c>
      <c r="H6" t="s">
        <v>10</v>
      </c>
      <c r="J6" t="s">
        <v>8</v>
      </c>
      <c r="K6" t="s">
        <v>10</v>
      </c>
      <c r="L6">
        <v>1</v>
      </c>
      <c r="M6">
        <v>0.84399999999999997</v>
      </c>
      <c r="N6">
        <v>0.91600000000000004</v>
      </c>
      <c r="O6">
        <v>0.88300000000000001</v>
      </c>
      <c r="P6">
        <v>120</v>
      </c>
      <c r="R6">
        <f t="shared" si="1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</row>
    <row r="7" spans="1:22" x14ac:dyDescent="0.35">
      <c r="A7" t="s">
        <v>8</v>
      </c>
      <c r="B7" t="s">
        <v>14</v>
      </c>
      <c r="C7">
        <v>0.76500000000000001</v>
      </c>
      <c r="D7">
        <v>0.67500000000000004</v>
      </c>
      <c r="E7">
        <v>0.71699999999999997</v>
      </c>
      <c r="F7">
        <v>0.65800000000000003</v>
      </c>
      <c r="G7">
        <v>120</v>
      </c>
      <c r="H7" t="s">
        <v>10</v>
      </c>
      <c r="J7" t="s">
        <v>8</v>
      </c>
      <c r="K7" t="s">
        <v>14</v>
      </c>
      <c r="L7">
        <v>0.76500000000000001</v>
      </c>
      <c r="M7">
        <v>0.67500000000000004</v>
      </c>
      <c r="N7">
        <v>0.71699999999999997</v>
      </c>
      <c r="O7">
        <v>0.65800000000000003</v>
      </c>
      <c r="P7">
        <v>120</v>
      </c>
      <c r="R7">
        <f t="shared" si="1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</row>
    <row r="8" spans="1:22" x14ac:dyDescent="0.35">
      <c r="A8" t="s">
        <v>8</v>
      </c>
      <c r="B8" t="s">
        <v>15</v>
      </c>
      <c r="C8">
        <v>0.94299999999999995</v>
      </c>
      <c r="D8">
        <v>0.76900000000000002</v>
      </c>
      <c r="E8">
        <v>0.84699999999999998</v>
      </c>
      <c r="F8">
        <v>0.85</v>
      </c>
      <c r="G8">
        <v>120</v>
      </c>
      <c r="H8" t="s">
        <v>10</v>
      </c>
      <c r="J8" t="s">
        <v>8</v>
      </c>
      <c r="K8" t="s">
        <v>15</v>
      </c>
      <c r="L8">
        <v>0.94299999999999995</v>
      </c>
      <c r="M8">
        <v>0.76900000000000002</v>
      </c>
      <c r="N8">
        <v>0.84699999999999998</v>
      </c>
      <c r="O8">
        <v>0.85</v>
      </c>
      <c r="P8">
        <v>120</v>
      </c>
      <c r="R8">
        <f t="shared" si="1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</row>
    <row r="9" spans="1:22" x14ac:dyDescent="0.35">
      <c r="A9" t="s">
        <v>8</v>
      </c>
      <c r="B9" t="s">
        <v>16</v>
      </c>
      <c r="C9">
        <v>1</v>
      </c>
      <c r="D9">
        <v>0.8</v>
      </c>
      <c r="E9">
        <v>0.88900000000000001</v>
      </c>
      <c r="F9">
        <v>0.9</v>
      </c>
      <c r="G9">
        <v>120</v>
      </c>
      <c r="H9" t="s">
        <v>10</v>
      </c>
      <c r="J9" t="s">
        <v>8</v>
      </c>
      <c r="K9" t="s">
        <v>16</v>
      </c>
      <c r="L9">
        <v>1</v>
      </c>
      <c r="M9">
        <v>0.8</v>
      </c>
      <c r="N9">
        <v>0.88900000000000001</v>
      </c>
      <c r="O9">
        <v>0.9</v>
      </c>
      <c r="P9">
        <v>120</v>
      </c>
      <c r="R9">
        <f t="shared" si="1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</row>
    <row r="10" spans="1:22" x14ac:dyDescent="0.35">
      <c r="A10" s="3" t="s">
        <v>8</v>
      </c>
      <c r="B10" s="3" t="s">
        <v>17</v>
      </c>
      <c r="C10" s="3">
        <v>0.95199999999999996</v>
      </c>
      <c r="D10" s="3">
        <v>0.85099999999999998</v>
      </c>
      <c r="E10" s="3">
        <v>0.89900000000000002</v>
      </c>
      <c r="F10" s="3">
        <v>0.89200000000000002</v>
      </c>
      <c r="G10" s="3">
        <v>960</v>
      </c>
      <c r="H10" s="3" t="s">
        <v>10</v>
      </c>
      <c r="J10" t="s">
        <v>8</v>
      </c>
      <c r="K10" t="s">
        <v>17</v>
      </c>
      <c r="L10">
        <v>0.95199999999999996</v>
      </c>
      <c r="M10">
        <v>0.85099999999999998</v>
      </c>
      <c r="N10">
        <v>0.89900000000000002</v>
      </c>
      <c r="O10">
        <v>0.89200000000000002</v>
      </c>
      <c r="P10">
        <v>960</v>
      </c>
      <c r="R10">
        <f t="shared" si="1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</row>
    <row r="11" spans="1:22" x14ac:dyDescent="0.35">
      <c r="A11" t="s">
        <v>8</v>
      </c>
      <c r="B11" t="s">
        <v>9</v>
      </c>
      <c r="C11">
        <v>0.88900000000000001</v>
      </c>
      <c r="D11">
        <v>0.90300000000000002</v>
      </c>
      <c r="E11">
        <v>0.89600000000000002</v>
      </c>
      <c r="F11">
        <v>0.89200000000000002</v>
      </c>
      <c r="G11">
        <v>120</v>
      </c>
      <c r="H11" t="s">
        <v>18</v>
      </c>
      <c r="J11" t="s">
        <v>8</v>
      </c>
      <c r="K11" t="s">
        <v>9</v>
      </c>
      <c r="L11">
        <v>0.88900000000000001</v>
      </c>
      <c r="M11">
        <v>0.90300000000000002</v>
      </c>
      <c r="N11">
        <v>0.89600000000000002</v>
      </c>
      <c r="O11">
        <v>0.89200000000000002</v>
      </c>
      <c r="P11">
        <v>120</v>
      </c>
      <c r="R11">
        <f t="shared" si="1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</row>
    <row r="12" spans="1:22" x14ac:dyDescent="0.35">
      <c r="A12" t="s">
        <v>8</v>
      </c>
      <c r="B12" t="s">
        <v>11</v>
      </c>
      <c r="C12">
        <v>1</v>
      </c>
      <c r="D12">
        <v>0.95199999999999996</v>
      </c>
      <c r="E12">
        <v>0.97499999999999998</v>
      </c>
      <c r="F12">
        <v>0.97499999999999998</v>
      </c>
      <c r="G12">
        <v>120</v>
      </c>
      <c r="H12" t="s">
        <v>18</v>
      </c>
      <c r="J12" t="s">
        <v>8</v>
      </c>
      <c r="K12" t="s">
        <v>11</v>
      </c>
      <c r="L12">
        <v>1</v>
      </c>
      <c r="M12">
        <v>0.95199999999999996</v>
      </c>
      <c r="N12">
        <v>0.97499999999999998</v>
      </c>
      <c r="O12">
        <v>0.97499999999999998</v>
      </c>
      <c r="P12">
        <v>120</v>
      </c>
      <c r="R12">
        <f t="shared" si="1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</row>
    <row r="13" spans="1:22" x14ac:dyDescent="0.35">
      <c r="A13" t="s">
        <v>8</v>
      </c>
      <c r="B13" t="s">
        <v>12</v>
      </c>
      <c r="C13">
        <v>0.96699999999999997</v>
      </c>
      <c r="D13">
        <v>0.89400000000000002</v>
      </c>
      <c r="E13">
        <v>0.92900000000000005</v>
      </c>
      <c r="F13">
        <v>0.92500000000000004</v>
      </c>
      <c r="G13">
        <v>120</v>
      </c>
      <c r="H13" t="s">
        <v>18</v>
      </c>
      <c r="J13" t="s">
        <v>8</v>
      </c>
      <c r="K13" t="s">
        <v>12</v>
      </c>
      <c r="L13">
        <v>0.96699999999999997</v>
      </c>
      <c r="M13">
        <v>0.89400000000000002</v>
      </c>
      <c r="N13">
        <v>0.92900000000000005</v>
      </c>
      <c r="O13">
        <v>0.92500000000000004</v>
      </c>
      <c r="P13">
        <v>120</v>
      </c>
      <c r="R13">
        <f t="shared" si="1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</row>
    <row r="14" spans="1:22" x14ac:dyDescent="0.35">
      <c r="A14" t="s">
        <v>8</v>
      </c>
      <c r="B14" t="s">
        <v>13</v>
      </c>
      <c r="C14">
        <v>1</v>
      </c>
      <c r="D14">
        <v>1</v>
      </c>
      <c r="E14">
        <v>1</v>
      </c>
      <c r="F14">
        <v>1</v>
      </c>
      <c r="G14">
        <v>120</v>
      </c>
      <c r="H14" t="s">
        <v>18</v>
      </c>
      <c r="J14" t="s">
        <v>8</v>
      </c>
      <c r="K14" t="s">
        <v>13</v>
      </c>
      <c r="L14">
        <v>1</v>
      </c>
      <c r="M14">
        <v>1</v>
      </c>
      <c r="N14">
        <v>1</v>
      </c>
      <c r="O14">
        <v>1</v>
      </c>
      <c r="P14">
        <v>120</v>
      </c>
      <c r="R14">
        <f t="shared" si="1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</row>
    <row r="15" spans="1:22" x14ac:dyDescent="0.35">
      <c r="A15" t="s">
        <v>8</v>
      </c>
      <c r="B15" t="s">
        <v>10</v>
      </c>
      <c r="C15">
        <v>1</v>
      </c>
      <c r="D15">
        <v>0.71099999999999997</v>
      </c>
      <c r="E15">
        <v>0.83099999999999996</v>
      </c>
      <c r="F15">
        <v>0.78300000000000003</v>
      </c>
      <c r="G15">
        <v>120</v>
      </c>
      <c r="H15" t="s">
        <v>18</v>
      </c>
      <c r="J15" t="s">
        <v>8</v>
      </c>
      <c r="K15" t="s">
        <v>10</v>
      </c>
      <c r="L15">
        <v>1</v>
      </c>
      <c r="M15">
        <v>0.71099999999999997</v>
      </c>
      <c r="N15">
        <v>0.83099999999999996</v>
      </c>
      <c r="O15">
        <v>0.78300000000000003</v>
      </c>
      <c r="P15">
        <v>120</v>
      </c>
      <c r="R15">
        <f t="shared" si="1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</row>
    <row r="16" spans="1:22" x14ac:dyDescent="0.35">
      <c r="A16" t="s">
        <v>8</v>
      </c>
      <c r="B16" t="s">
        <v>14</v>
      </c>
      <c r="C16">
        <v>0.90900000000000003</v>
      </c>
      <c r="D16">
        <v>0.77900000000000003</v>
      </c>
      <c r="E16">
        <v>0.83899999999999997</v>
      </c>
      <c r="F16">
        <v>0.80800000000000005</v>
      </c>
      <c r="G16">
        <v>120</v>
      </c>
      <c r="H16" t="s">
        <v>18</v>
      </c>
      <c r="J16" t="s">
        <v>8</v>
      </c>
      <c r="K16" t="s">
        <v>14</v>
      </c>
      <c r="L16">
        <v>0.90900000000000003</v>
      </c>
      <c r="M16">
        <v>0.77900000000000003</v>
      </c>
      <c r="N16">
        <v>0.83899999999999997</v>
      </c>
      <c r="O16">
        <v>0.80800000000000005</v>
      </c>
      <c r="P16">
        <v>120</v>
      </c>
      <c r="R16">
        <f t="shared" si="1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</row>
    <row r="17" spans="1:22" x14ac:dyDescent="0.35">
      <c r="A17" t="s">
        <v>8</v>
      </c>
      <c r="B17" t="s">
        <v>15</v>
      </c>
      <c r="C17">
        <v>0.91800000000000004</v>
      </c>
      <c r="D17">
        <v>0.69199999999999995</v>
      </c>
      <c r="E17">
        <v>0.78900000000000003</v>
      </c>
      <c r="F17">
        <v>0.8</v>
      </c>
      <c r="G17">
        <v>120</v>
      </c>
      <c r="H17" t="s">
        <v>18</v>
      </c>
      <c r="J17" t="s">
        <v>8</v>
      </c>
      <c r="K17" t="s">
        <v>15</v>
      </c>
      <c r="L17">
        <v>0.91800000000000004</v>
      </c>
      <c r="M17">
        <v>0.69199999999999995</v>
      </c>
      <c r="N17">
        <v>0.78900000000000003</v>
      </c>
      <c r="O17">
        <v>0.8</v>
      </c>
      <c r="P17">
        <v>120</v>
      </c>
      <c r="R17">
        <f t="shared" si="1"/>
        <v>0</v>
      </c>
      <c r="S17">
        <f t="shared" si="0"/>
        <v>0</v>
      </c>
      <c r="T17">
        <f t="shared" si="0"/>
        <v>0</v>
      </c>
      <c r="U17">
        <f t="shared" si="0"/>
        <v>0</v>
      </c>
      <c r="V17">
        <f t="shared" si="0"/>
        <v>0</v>
      </c>
    </row>
    <row r="18" spans="1:22" x14ac:dyDescent="0.35">
      <c r="A18" t="s">
        <v>8</v>
      </c>
      <c r="B18" t="s">
        <v>16</v>
      </c>
      <c r="C18">
        <v>1</v>
      </c>
      <c r="D18">
        <v>1</v>
      </c>
      <c r="E18">
        <v>1</v>
      </c>
      <c r="F18">
        <v>1</v>
      </c>
      <c r="G18">
        <v>120</v>
      </c>
      <c r="H18" t="s">
        <v>18</v>
      </c>
      <c r="J18" t="s">
        <v>8</v>
      </c>
      <c r="K18" t="s">
        <v>16</v>
      </c>
      <c r="L18">
        <v>1</v>
      </c>
      <c r="M18">
        <v>1</v>
      </c>
      <c r="N18">
        <v>1</v>
      </c>
      <c r="O18">
        <v>1</v>
      </c>
      <c r="P18">
        <v>120</v>
      </c>
      <c r="R18">
        <f t="shared" si="1"/>
        <v>0</v>
      </c>
      <c r="S18">
        <f t="shared" ref="S18:S28" si="2">D18-M18</f>
        <v>0</v>
      </c>
      <c r="T18">
        <f t="shared" ref="T18:T28" si="3">E18-N18</f>
        <v>0</v>
      </c>
      <c r="U18">
        <f t="shared" ref="U18:U28" si="4">F18-O18</f>
        <v>0</v>
      </c>
      <c r="V18">
        <f t="shared" ref="V18:V28" si="5">G18-P18</f>
        <v>0</v>
      </c>
    </row>
    <row r="19" spans="1:22" x14ac:dyDescent="0.35">
      <c r="A19" s="3" t="s">
        <v>8</v>
      </c>
      <c r="B19" s="3" t="s">
        <v>17</v>
      </c>
      <c r="C19" s="3">
        <v>0.96099999999999997</v>
      </c>
      <c r="D19" s="3">
        <v>0.85399999999999998</v>
      </c>
      <c r="E19" s="3">
        <v>0.90400000000000003</v>
      </c>
      <c r="F19" s="3">
        <v>0.89800000000000002</v>
      </c>
      <c r="G19" s="3">
        <v>960</v>
      </c>
      <c r="H19" s="3" t="s">
        <v>18</v>
      </c>
      <c r="J19" t="s">
        <v>8</v>
      </c>
      <c r="K19" t="s">
        <v>17</v>
      </c>
      <c r="L19">
        <v>0.96099999999999997</v>
      </c>
      <c r="M19">
        <v>0.85399999999999998</v>
      </c>
      <c r="N19">
        <v>0.90400000000000003</v>
      </c>
      <c r="O19">
        <v>0.89800000000000002</v>
      </c>
      <c r="P19">
        <v>960</v>
      </c>
      <c r="R19">
        <f t="shared" si="1"/>
        <v>0</v>
      </c>
      <c r="S19">
        <f t="shared" si="2"/>
        <v>0</v>
      </c>
      <c r="T19">
        <f t="shared" si="3"/>
        <v>0</v>
      </c>
      <c r="U19">
        <f t="shared" si="4"/>
        <v>0</v>
      </c>
      <c r="V19">
        <f t="shared" si="5"/>
        <v>0</v>
      </c>
    </row>
    <row r="20" spans="1:22" x14ac:dyDescent="0.35">
      <c r="A20" t="s">
        <v>8</v>
      </c>
      <c r="B20" t="s">
        <v>9</v>
      </c>
      <c r="C20">
        <v>0.93300000000000005</v>
      </c>
      <c r="D20">
        <v>0.89500000000000002</v>
      </c>
      <c r="E20">
        <v>0.91400000000000003</v>
      </c>
      <c r="F20">
        <v>0.91200000000000003</v>
      </c>
      <c r="G20">
        <v>240</v>
      </c>
      <c r="H20" t="s">
        <v>17</v>
      </c>
      <c r="J20" t="s">
        <v>8</v>
      </c>
      <c r="K20" t="s">
        <v>9</v>
      </c>
      <c r="L20">
        <v>0.93300000000000005</v>
      </c>
      <c r="M20">
        <v>0.89500000000000002</v>
      </c>
      <c r="N20">
        <v>0.91400000000000003</v>
      </c>
      <c r="O20">
        <v>0.91200000000000003</v>
      </c>
      <c r="P20">
        <v>240</v>
      </c>
      <c r="R20">
        <f t="shared" si="1"/>
        <v>0</v>
      </c>
      <c r="S20">
        <f t="shared" si="2"/>
        <v>0</v>
      </c>
      <c r="T20">
        <f t="shared" si="3"/>
        <v>0</v>
      </c>
      <c r="U20">
        <f t="shared" si="4"/>
        <v>0</v>
      </c>
      <c r="V20">
        <f t="shared" si="5"/>
        <v>0</v>
      </c>
    </row>
    <row r="21" spans="1:22" x14ac:dyDescent="0.35">
      <c r="A21" t="s">
        <v>8</v>
      </c>
      <c r="B21" t="s">
        <v>11</v>
      </c>
      <c r="C21">
        <v>0.99199999999999999</v>
      </c>
      <c r="D21">
        <v>0.96799999999999997</v>
      </c>
      <c r="E21">
        <v>0.98</v>
      </c>
      <c r="F21">
        <v>0.97899999999999998</v>
      </c>
      <c r="G21">
        <v>240</v>
      </c>
      <c r="H21" t="s">
        <v>17</v>
      </c>
      <c r="J21" t="s">
        <v>8</v>
      </c>
      <c r="K21" t="s">
        <v>11</v>
      </c>
      <c r="L21">
        <v>0.99199999999999999</v>
      </c>
      <c r="M21">
        <v>0.96799999999999997</v>
      </c>
      <c r="N21">
        <v>0.98</v>
      </c>
      <c r="O21">
        <v>0.97899999999999998</v>
      </c>
      <c r="P21">
        <v>240</v>
      </c>
      <c r="R21">
        <f t="shared" si="1"/>
        <v>0</v>
      </c>
      <c r="S21">
        <f t="shared" si="2"/>
        <v>0</v>
      </c>
      <c r="T21">
        <f t="shared" si="3"/>
        <v>0</v>
      </c>
      <c r="U21">
        <f t="shared" si="4"/>
        <v>0</v>
      </c>
      <c r="V21">
        <f t="shared" si="5"/>
        <v>0</v>
      </c>
    </row>
    <row r="22" spans="1:22" x14ac:dyDescent="0.35">
      <c r="A22" t="s">
        <v>8</v>
      </c>
      <c r="B22" t="s">
        <v>12</v>
      </c>
      <c r="C22">
        <v>0.96699999999999997</v>
      </c>
      <c r="D22">
        <v>0.89400000000000002</v>
      </c>
      <c r="E22">
        <v>0.92900000000000005</v>
      </c>
      <c r="F22">
        <v>0.92500000000000004</v>
      </c>
      <c r="G22">
        <v>240</v>
      </c>
      <c r="H22" t="s">
        <v>17</v>
      </c>
      <c r="J22" t="s">
        <v>8</v>
      </c>
      <c r="K22" t="s">
        <v>12</v>
      </c>
      <c r="L22">
        <v>0.96699999999999997</v>
      </c>
      <c r="M22">
        <v>0.89400000000000002</v>
      </c>
      <c r="N22">
        <v>0.92900000000000005</v>
      </c>
      <c r="O22">
        <v>0.92500000000000004</v>
      </c>
      <c r="P22">
        <v>240</v>
      </c>
      <c r="R22">
        <f t="shared" si="1"/>
        <v>0</v>
      </c>
      <c r="S22">
        <f t="shared" si="2"/>
        <v>0</v>
      </c>
      <c r="T22">
        <f t="shared" si="3"/>
        <v>0</v>
      </c>
      <c r="U22">
        <f t="shared" si="4"/>
        <v>0</v>
      </c>
      <c r="V22">
        <f t="shared" si="5"/>
        <v>0</v>
      </c>
    </row>
    <row r="23" spans="1:22" x14ac:dyDescent="0.35">
      <c r="A23" t="s">
        <v>8</v>
      </c>
      <c r="B23" t="s">
        <v>13</v>
      </c>
      <c r="C23">
        <v>1</v>
      </c>
      <c r="D23">
        <v>1</v>
      </c>
      <c r="E23">
        <v>1</v>
      </c>
      <c r="F23">
        <v>1</v>
      </c>
      <c r="G23">
        <v>240</v>
      </c>
      <c r="H23" t="s">
        <v>17</v>
      </c>
      <c r="J23" t="s">
        <v>8</v>
      </c>
      <c r="K23" t="s">
        <v>13</v>
      </c>
      <c r="L23">
        <v>1</v>
      </c>
      <c r="M23">
        <v>1</v>
      </c>
      <c r="N23">
        <v>1</v>
      </c>
      <c r="O23">
        <v>1</v>
      </c>
      <c r="P23">
        <v>240</v>
      </c>
      <c r="R23">
        <f t="shared" si="1"/>
        <v>0</v>
      </c>
      <c r="S23">
        <f t="shared" si="2"/>
        <v>0</v>
      </c>
      <c r="T23">
        <f t="shared" si="3"/>
        <v>0</v>
      </c>
      <c r="U23">
        <f t="shared" si="4"/>
        <v>0</v>
      </c>
      <c r="V23">
        <f t="shared" si="5"/>
        <v>0</v>
      </c>
    </row>
    <row r="24" spans="1:22" x14ac:dyDescent="0.35">
      <c r="A24" t="s">
        <v>8</v>
      </c>
      <c r="B24" t="s">
        <v>10</v>
      </c>
      <c r="C24">
        <v>1</v>
      </c>
      <c r="D24">
        <v>0.77800000000000002</v>
      </c>
      <c r="E24">
        <v>0.875</v>
      </c>
      <c r="F24">
        <v>0.83299999999999996</v>
      </c>
      <c r="G24">
        <v>240</v>
      </c>
      <c r="H24" t="s">
        <v>17</v>
      </c>
      <c r="J24" t="s">
        <v>8</v>
      </c>
      <c r="K24" t="s">
        <v>10</v>
      </c>
      <c r="L24">
        <v>1</v>
      </c>
      <c r="M24">
        <v>0.77800000000000002</v>
      </c>
      <c r="N24">
        <v>0.875</v>
      </c>
      <c r="O24">
        <v>0.83299999999999996</v>
      </c>
      <c r="P24">
        <v>240</v>
      </c>
      <c r="R24">
        <f t="shared" si="1"/>
        <v>0</v>
      </c>
      <c r="S24">
        <f t="shared" si="2"/>
        <v>0</v>
      </c>
      <c r="T24">
        <f t="shared" si="3"/>
        <v>0</v>
      </c>
      <c r="U24">
        <f t="shared" si="4"/>
        <v>0</v>
      </c>
      <c r="V24">
        <f t="shared" si="5"/>
        <v>0</v>
      </c>
    </row>
    <row r="25" spans="1:22" x14ac:dyDescent="0.35">
      <c r="A25" t="s">
        <v>8</v>
      </c>
      <c r="B25" t="s">
        <v>14</v>
      </c>
      <c r="C25">
        <v>0.83599999999999997</v>
      </c>
      <c r="D25">
        <v>0.72699999999999998</v>
      </c>
      <c r="E25">
        <v>0.77800000000000002</v>
      </c>
      <c r="F25">
        <v>0.73299999999999998</v>
      </c>
      <c r="G25">
        <v>240</v>
      </c>
      <c r="H25" t="s">
        <v>17</v>
      </c>
      <c r="J25" t="s">
        <v>8</v>
      </c>
      <c r="K25" t="s">
        <v>14</v>
      </c>
      <c r="L25">
        <v>0.83599999999999997</v>
      </c>
      <c r="M25">
        <v>0.72699999999999998</v>
      </c>
      <c r="N25">
        <v>0.77800000000000002</v>
      </c>
      <c r="O25">
        <v>0.73299999999999998</v>
      </c>
      <c r="P25">
        <v>240</v>
      </c>
      <c r="R25">
        <f t="shared" si="1"/>
        <v>0</v>
      </c>
      <c r="S25">
        <f t="shared" si="2"/>
        <v>0</v>
      </c>
      <c r="T25">
        <f t="shared" si="3"/>
        <v>0</v>
      </c>
      <c r="U25">
        <f t="shared" si="4"/>
        <v>0</v>
      </c>
      <c r="V25">
        <f t="shared" si="5"/>
        <v>0</v>
      </c>
    </row>
    <row r="26" spans="1:22" x14ac:dyDescent="0.35">
      <c r="A26" t="s">
        <v>8</v>
      </c>
      <c r="B26" t="s">
        <v>15</v>
      </c>
      <c r="C26">
        <v>0.93100000000000005</v>
      </c>
      <c r="D26">
        <v>0.73099999999999998</v>
      </c>
      <c r="E26">
        <v>0.81899999999999995</v>
      </c>
      <c r="F26">
        <v>0.82499999999999996</v>
      </c>
      <c r="G26">
        <v>240</v>
      </c>
      <c r="H26" t="s">
        <v>17</v>
      </c>
      <c r="J26" t="s">
        <v>8</v>
      </c>
      <c r="K26" t="s">
        <v>15</v>
      </c>
      <c r="L26">
        <v>0.93100000000000005</v>
      </c>
      <c r="M26">
        <v>0.73099999999999998</v>
      </c>
      <c r="N26">
        <v>0.81899999999999995</v>
      </c>
      <c r="O26">
        <v>0.82499999999999996</v>
      </c>
      <c r="P26">
        <v>240</v>
      </c>
      <c r="R26">
        <f t="shared" si="1"/>
        <v>0</v>
      </c>
      <c r="S26">
        <f t="shared" si="2"/>
        <v>0</v>
      </c>
      <c r="T26">
        <f t="shared" si="3"/>
        <v>0</v>
      </c>
      <c r="U26">
        <f t="shared" si="4"/>
        <v>0</v>
      </c>
      <c r="V26">
        <f t="shared" si="5"/>
        <v>0</v>
      </c>
    </row>
    <row r="27" spans="1:22" x14ac:dyDescent="0.35">
      <c r="A27" t="s">
        <v>8</v>
      </c>
      <c r="B27" t="s">
        <v>16</v>
      </c>
      <c r="C27">
        <v>1</v>
      </c>
      <c r="D27">
        <v>0.9</v>
      </c>
      <c r="E27">
        <v>0.94699999999999995</v>
      </c>
      <c r="F27">
        <v>0.95</v>
      </c>
      <c r="G27">
        <v>240</v>
      </c>
      <c r="H27" t="s">
        <v>17</v>
      </c>
      <c r="J27" t="s">
        <v>8</v>
      </c>
      <c r="K27" t="s">
        <v>16</v>
      </c>
      <c r="L27">
        <v>1</v>
      </c>
      <c r="M27">
        <v>0.9</v>
      </c>
      <c r="N27">
        <v>0.94699999999999995</v>
      </c>
      <c r="O27">
        <v>0.95</v>
      </c>
      <c r="P27">
        <v>240</v>
      </c>
      <c r="R27">
        <f t="shared" si="1"/>
        <v>0</v>
      </c>
      <c r="S27">
        <f t="shared" si="2"/>
        <v>0</v>
      </c>
      <c r="T27">
        <f t="shared" si="3"/>
        <v>0</v>
      </c>
      <c r="U27">
        <f t="shared" si="4"/>
        <v>0</v>
      </c>
      <c r="V27">
        <f t="shared" si="5"/>
        <v>0</v>
      </c>
    </row>
    <row r="28" spans="1:22" x14ac:dyDescent="0.35">
      <c r="A28" s="3" t="s">
        <v>8</v>
      </c>
      <c r="B28" s="3" t="s">
        <v>17</v>
      </c>
      <c r="C28" s="3">
        <v>0.95699999999999996</v>
      </c>
      <c r="D28" s="3">
        <v>0.85199999999999998</v>
      </c>
      <c r="E28" s="3">
        <v>0.90100000000000002</v>
      </c>
      <c r="F28" s="3">
        <v>0.89500000000000002</v>
      </c>
      <c r="G28" s="3">
        <v>1920</v>
      </c>
      <c r="H28" s="3" t="s">
        <v>17</v>
      </c>
      <c r="J28" t="s">
        <v>8</v>
      </c>
      <c r="K28" t="s">
        <v>17</v>
      </c>
      <c r="L28">
        <v>0.95699999999999996</v>
      </c>
      <c r="M28">
        <v>0.85199999999999998</v>
      </c>
      <c r="N28">
        <v>0.90100000000000002</v>
      </c>
      <c r="O28">
        <v>0.89500000000000002</v>
      </c>
      <c r="P28">
        <v>1920</v>
      </c>
      <c r="R28">
        <f t="shared" si="1"/>
        <v>0</v>
      </c>
      <c r="S28">
        <f t="shared" si="2"/>
        <v>0</v>
      </c>
      <c r="T28">
        <f t="shared" si="3"/>
        <v>0</v>
      </c>
      <c r="U28">
        <f t="shared" si="4"/>
        <v>0</v>
      </c>
      <c r="V28">
        <f t="shared" si="5"/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topLeftCell="A2" workbookViewId="0">
      <selection activeCell="N12" sqref="N12:P20"/>
    </sheetView>
  </sheetViews>
  <sheetFormatPr defaultRowHeight="14.5" x14ac:dyDescent="0.35"/>
  <cols>
    <col min="1" max="1" width="36" bestFit="1" customWidth="1"/>
    <col min="2" max="5" width="5.6328125" style="4" customWidth="1"/>
  </cols>
  <sheetData>
    <row r="1" spans="1:16" x14ac:dyDescent="0.35">
      <c r="B1" s="4" t="s">
        <v>32</v>
      </c>
      <c r="C1" s="4" t="s">
        <v>31</v>
      </c>
      <c r="D1" s="4" t="s">
        <v>30</v>
      </c>
      <c r="E1" s="4" t="s">
        <v>29</v>
      </c>
      <c r="F1" s="4" t="s">
        <v>33</v>
      </c>
      <c r="G1" s="4" t="s">
        <v>34</v>
      </c>
      <c r="H1" s="4" t="s">
        <v>36</v>
      </c>
      <c r="I1" s="4" t="s">
        <v>35</v>
      </c>
      <c r="L1" s="4" t="s">
        <v>37</v>
      </c>
    </row>
    <row r="2" spans="1:16" x14ac:dyDescent="0.35">
      <c r="A2" t="s">
        <v>28</v>
      </c>
      <c r="B2" s="4">
        <v>55</v>
      </c>
      <c r="C2" s="4">
        <v>1</v>
      </c>
      <c r="D2" s="4">
        <v>7</v>
      </c>
      <c r="E2" s="4">
        <v>57</v>
      </c>
      <c r="F2">
        <f>B2+C2</f>
        <v>56</v>
      </c>
      <c r="G2">
        <f>B2/F2</f>
        <v>0.9821428571428571</v>
      </c>
      <c r="H2">
        <f>B2+D2</f>
        <v>62</v>
      </c>
      <c r="I2">
        <f>B2/H2</f>
        <v>0.88709677419354838</v>
      </c>
      <c r="J2">
        <f>G2*I2</f>
        <v>0.87125576036866359</v>
      </c>
      <c r="K2">
        <f>G2+I2</f>
        <v>1.8692396313364055</v>
      </c>
      <c r="L2">
        <f>2*J2/K2</f>
        <v>0.93220338983050854</v>
      </c>
      <c r="N2">
        <v>0.98199999999999998</v>
      </c>
      <c r="O2">
        <v>0.88700000000000001</v>
      </c>
      <c r="P2">
        <v>0.93200000000000005</v>
      </c>
    </row>
    <row r="3" spans="1:16" x14ac:dyDescent="0.35">
      <c r="A3" t="s">
        <v>21</v>
      </c>
      <c r="B3" s="4">
        <v>61</v>
      </c>
      <c r="C3" s="4">
        <v>1</v>
      </c>
      <c r="D3" s="4">
        <v>1</v>
      </c>
      <c r="E3" s="4">
        <v>57</v>
      </c>
      <c r="F3">
        <f t="shared" ref="F3:F10" si="0">B3+C3</f>
        <v>62</v>
      </c>
      <c r="G3">
        <f t="shared" ref="G3:G10" si="1">B3/F3</f>
        <v>0.9838709677419355</v>
      </c>
      <c r="H3">
        <f t="shared" ref="H3:H10" si="2">B3+D3</f>
        <v>62</v>
      </c>
      <c r="I3">
        <f t="shared" ref="I3:I10" si="3">B3/H3</f>
        <v>0.9838709677419355</v>
      </c>
      <c r="J3">
        <f t="shared" ref="J3:J10" si="4">G3*I3</f>
        <v>0.96800208116545272</v>
      </c>
      <c r="K3">
        <f t="shared" ref="K3:K10" si="5">G3+I3</f>
        <v>1.967741935483871</v>
      </c>
      <c r="L3">
        <f t="shared" ref="L3:L10" si="6">2*J3/K3</f>
        <v>0.9838709677419355</v>
      </c>
      <c r="N3">
        <v>0.98399999999999999</v>
      </c>
      <c r="O3">
        <v>0.98399999999999999</v>
      </c>
      <c r="P3">
        <v>0.98399999999999999</v>
      </c>
    </row>
    <row r="4" spans="1:16" x14ac:dyDescent="0.35">
      <c r="A4" t="s">
        <v>22</v>
      </c>
      <c r="B4" s="4">
        <v>59</v>
      </c>
      <c r="C4" s="4">
        <v>2</v>
      </c>
      <c r="D4" s="4">
        <v>7</v>
      </c>
      <c r="E4" s="4">
        <v>52</v>
      </c>
      <c r="F4">
        <f t="shared" si="0"/>
        <v>61</v>
      </c>
      <c r="G4">
        <f t="shared" si="1"/>
        <v>0.96721311475409832</v>
      </c>
      <c r="H4">
        <f t="shared" si="2"/>
        <v>66</v>
      </c>
      <c r="I4">
        <f t="shared" si="3"/>
        <v>0.89393939393939392</v>
      </c>
      <c r="J4">
        <f t="shared" si="4"/>
        <v>0.86462990561351216</v>
      </c>
      <c r="K4">
        <f t="shared" si="5"/>
        <v>1.8611525086934924</v>
      </c>
      <c r="L4">
        <f t="shared" si="6"/>
        <v>0.92913385826771655</v>
      </c>
      <c r="N4">
        <v>0.96699999999999997</v>
      </c>
      <c r="O4">
        <v>0.89400000000000002</v>
      </c>
      <c r="P4">
        <v>0.92900000000000005</v>
      </c>
    </row>
    <row r="5" spans="1:16" x14ac:dyDescent="0.35">
      <c r="A5" t="s">
        <v>23</v>
      </c>
      <c r="B5" s="4">
        <v>60</v>
      </c>
      <c r="C5" s="4">
        <v>0</v>
      </c>
      <c r="D5" s="4">
        <v>0</v>
      </c>
      <c r="E5" s="4">
        <v>60</v>
      </c>
      <c r="F5">
        <f t="shared" si="0"/>
        <v>60</v>
      </c>
      <c r="G5">
        <f t="shared" si="1"/>
        <v>1</v>
      </c>
      <c r="H5">
        <f t="shared" si="2"/>
        <v>60</v>
      </c>
      <c r="I5">
        <f t="shared" si="3"/>
        <v>1</v>
      </c>
      <c r="J5">
        <f t="shared" si="4"/>
        <v>1</v>
      </c>
      <c r="K5">
        <f t="shared" si="5"/>
        <v>2</v>
      </c>
      <c r="L5">
        <f t="shared" si="6"/>
        <v>1</v>
      </c>
      <c r="N5">
        <v>1</v>
      </c>
      <c r="O5">
        <v>1</v>
      </c>
      <c r="P5">
        <v>1</v>
      </c>
    </row>
    <row r="6" spans="1:16" x14ac:dyDescent="0.35">
      <c r="A6" t="s">
        <v>24</v>
      </c>
      <c r="B6" s="4">
        <v>76</v>
      </c>
      <c r="C6" s="4">
        <v>0</v>
      </c>
      <c r="D6" s="4">
        <v>14</v>
      </c>
      <c r="E6" s="4">
        <v>30</v>
      </c>
      <c r="F6">
        <f t="shared" si="0"/>
        <v>76</v>
      </c>
      <c r="G6">
        <f t="shared" si="1"/>
        <v>1</v>
      </c>
      <c r="H6">
        <f t="shared" si="2"/>
        <v>90</v>
      </c>
      <c r="I6">
        <f t="shared" si="3"/>
        <v>0.84444444444444444</v>
      </c>
      <c r="J6">
        <f t="shared" si="4"/>
        <v>0.84444444444444444</v>
      </c>
      <c r="K6">
        <f t="shared" si="5"/>
        <v>1.8444444444444446</v>
      </c>
      <c r="L6">
        <f t="shared" si="6"/>
        <v>0.91566265060240959</v>
      </c>
      <c r="N6">
        <v>1</v>
      </c>
      <c r="O6">
        <v>0.84399999999999997</v>
      </c>
      <c r="P6">
        <v>0.91600000000000004</v>
      </c>
    </row>
    <row r="7" spans="1:16" x14ac:dyDescent="0.35">
      <c r="A7" t="s">
        <v>25</v>
      </c>
      <c r="B7" s="4">
        <v>52</v>
      </c>
      <c r="C7" s="4">
        <v>16</v>
      </c>
      <c r="D7" s="4">
        <v>25</v>
      </c>
      <c r="E7" s="4">
        <v>27</v>
      </c>
      <c r="F7">
        <f t="shared" si="0"/>
        <v>68</v>
      </c>
      <c r="G7">
        <f t="shared" si="1"/>
        <v>0.76470588235294112</v>
      </c>
      <c r="H7">
        <f t="shared" si="2"/>
        <v>77</v>
      </c>
      <c r="I7">
        <f t="shared" si="3"/>
        <v>0.67532467532467533</v>
      </c>
      <c r="J7">
        <f t="shared" si="4"/>
        <v>0.51642475171886937</v>
      </c>
      <c r="K7">
        <f t="shared" si="5"/>
        <v>1.4400305576776165</v>
      </c>
      <c r="L7">
        <f t="shared" si="6"/>
        <v>0.71724137931034482</v>
      </c>
      <c r="N7">
        <v>0.76500000000000001</v>
      </c>
      <c r="O7">
        <v>0.67500000000000004</v>
      </c>
      <c r="P7">
        <v>0.71699999999999997</v>
      </c>
    </row>
    <row r="8" spans="1:16" x14ac:dyDescent="0.35">
      <c r="A8" t="s">
        <v>26</v>
      </c>
      <c r="B8" s="4">
        <v>50</v>
      </c>
      <c r="C8" s="4">
        <v>3</v>
      </c>
      <c r="D8" s="4">
        <v>15</v>
      </c>
      <c r="E8" s="4">
        <v>52</v>
      </c>
      <c r="F8">
        <f t="shared" si="0"/>
        <v>53</v>
      </c>
      <c r="G8">
        <f t="shared" si="1"/>
        <v>0.94339622641509435</v>
      </c>
      <c r="H8">
        <f t="shared" si="2"/>
        <v>65</v>
      </c>
      <c r="I8">
        <f t="shared" si="3"/>
        <v>0.76923076923076927</v>
      </c>
      <c r="J8">
        <f t="shared" si="4"/>
        <v>0.72568940493468803</v>
      </c>
      <c r="K8">
        <f t="shared" si="5"/>
        <v>1.7126269956458637</v>
      </c>
      <c r="L8">
        <f t="shared" si="6"/>
        <v>0.84745762711864403</v>
      </c>
      <c r="N8">
        <v>0.94299999999999995</v>
      </c>
      <c r="O8">
        <v>0.76900000000000002</v>
      </c>
      <c r="P8">
        <v>0.84699999999999998</v>
      </c>
    </row>
    <row r="9" spans="1:16" x14ac:dyDescent="0.35">
      <c r="A9" t="s">
        <v>27</v>
      </c>
      <c r="B9" s="4">
        <v>48</v>
      </c>
      <c r="C9" s="4">
        <v>0</v>
      </c>
      <c r="D9" s="4">
        <v>12</v>
      </c>
      <c r="E9" s="4">
        <v>60</v>
      </c>
      <c r="F9">
        <f t="shared" si="0"/>
        <v>48</v>
      </c>
      <c r="G9">
        <f t="shared" si="1"/>
        <v>1</v>
      </c>
      <c r="H9">
        <f t="shared" si="2"/>
        <v>60</v>
      </c>
      <c r="I9">
        <f t="shared" si="3"/>
        <v>0.8</v>
      </c>
      <c r="J9">
        <f t="shared" si="4"/>
        <v>0.8</v>
      </c>
      <c r="K9">
        <f t="shared" si="5"/>
        <v>1.8</v>
      </c>
      <c r="L9">
        <f t="shared" si="6"/>
        <v>0.88888888888888895</v>
      </c>
      <c r="N9">
        <v>1</v>
      </c>
      <c r="O9">
        <v>0.8</v>
      </c>
      <c r="P9">
        <v>0.88900000000000001</v>
      </c>
    </row>
    <row r="10" spans="1:16" x14ac:dyDescent="0.35">
      <c r="B10" s="4">
        <f>SUM(B2:B9)</f>
        <v>461</v>
      </c>
      <c r="C10" s="4">
        <f t="shared" ref="C10:E10" si="7">SUM(C2:C9)</f>
        <v>23</v>
      </c>
      <c r="D10" s="4">
        <f t="shared" si="7"/>
        <v>81</v>
      </c>
      <c r="E10" s="4">
        <f t="shared" si="7"/>
        <v>395</v>
      </c>
      <c r="F10">
        <f t="shared" si="0"/>
        <v>484</v>
      </c>
      <c r="G10">
        <f t="shared" si="1"/>
        <v>0.9524793388429752</v>
      </c>
      <c r="H10">
        <f t="shared" si="2"/>
        <v>542</v>
      </c>
      <c r="I10">
        <f t="shared" si="3"/>
        <v>0.85055350553505538</v>
      </c>
      <c r="J10">
        <f t="shared" si="4"/>
        <v>0.81013464060260443</v>
      </c>
      <c r="K10">
        <f t="shared" si="5"/>
        <v>1.8030328443780306</v>
      </c>
      <c r="L10">
        <f t="shared" si="6"/>
        <v>0.89863547758284601</v>
      </c>
      <c r="N10">
        <v>0.95199999999999996</v>
      </c>
      <c r="O10">
        <v>0.85099999999999998</v>
      </c>
      <c r="P10">
        <v>0.89900000000000002</v>
      </c>
    </row>
    <row r="12" spans="1:16" x14ac:dyDescent="0.35">
      <c r="G12">
        <v>0.9821428571428571</v>
      </c>
      <c r="H12">
        <v>0.88709677419354838</v>
      </c>
      <c r="I12">
        <v>0.93220338983050854</v>
      </c>
      <c r="K12">
        <f>ROUND(G12,3)</f>
        <v>0.98199999999999998</v>
      </c>
      <c r="L12">
        <f t="shared" ref="L12:M12" si="8">ROUND(H12,3)</f>
        <v>0.88700000000000001</v>
      </c>
      <c r="M12">
        <f t="shared" si="8"/>
        <v>0.93200000000000005</v>
      </c>
      <c r="N12">
        <v>0.98199999999999998</v>
      </c>
      <c r="O12">
        <v>0.88700000000000001</v>
      </c>
      <c r="P12">
        <v>0.93200000000000005</v>
      </c>
    </row>
    <row r="13" spans="1:16" x14ac:dyDescent="0.35">
      <c r="G13">
        <v>0.9838709677419355</v>
      </c>
      <c r="H13">
        <v>0.9838709677419355</v>
      </c>
      <c r="I13">
        <v>0.9838709677419355</v>
      </c>
      <c r="K13">
        <f t="shared" ref="K13:K20" si="9">ROUND(G13,3)</f>
        <v>0.98399999999999999</v>
      </c>
      <c r="L13">
        <f t="shared" ref="L13:L20" si="10">ROUND(H13,3)</f>
        <v>0.98399999999999999</v>
      </c>
      <c r="M13">
        <f t="shared" ref="M13:M20" si="11">ROUND(I13,3)</f>
        <v>0.98399999999999999</v>
      </c>
      <c r="N13">
        <v>0.98399999999999999</v>
      </c>
      <c r="O13">
        <v>0.98399999999999999</v>
      </c>
      <c r="P13">
        <v>0.98399999999999999</v>
      </c>
    </row>
    <row r="14" spans="1:16" x14ac:dyDescent="0.35">
      <c r="G14">
        <v>0.96721311475409832</v>
      </c>
      <c r="H14">
        <v>0.89393939393939392</v>
      </c>
      <c r="I14">
        <v>0.92913385826771655</v>
      </c>
      <c r="K14">
        <f t="shared" si="9"/>
        <v>0.96699999999999997</v>
      </c>
      <c r="L14">
        <f t="shared" si="10"/>
        <v>0.89400000000000002</v>
      </c>
      <c r="M14">
        <f t="shared" si="11"/>
        <v>0.92900000000000005</v>
      </c>
      <c r="N14">
        <v>0.96699999999999997</v>
      </c>
      <c r="O14">
        <v>0.89400000000000002</v>
      </c>
      <c r="P14">
        <v>0.92900000000000005</v>
      </c>
    </row>
    <row r="15" spans="1:16" x14ac:dyDescent="0.35">
      <c r="G15">
        <v>1</v>
      </c>
      <c r="H15">
        <v>1</v>
      </c>
      <c r="I15">
        <v>1</v>
      </c>
      <c r="K15">
        <f t="shared" si="9"/>
        <v>1</v>
      </c>
      <c r="L15">
        <f t="shared" si="10"/>
        <v>1</v>
      </c>
      <c r="M15">
        <f t="shared" si="11"/>
        <v>1</v>
      </c>
      <c r="N15">
        <v>1</v>
      </c>
      <c r="O15">
        <v>1</v>
      </c>
      <c r="P15">
        <v>1</v>
      </c>
    </row>
    <row r="16" spans="1:16" x14ac:dyDescent="0.35">
      <c r="G16">
        <v>1</v>
      </c>
      <c r="H16">
        <v>0.84444444444444444</v>
      </c>
      <c r="I16">
        <v>0.91566265060240959</v>
      </c>
      <c r="K16">
        <f t="shared" si="9"/>
        <v>1</v>
      </c>
      <c r="L16">
        <f t="shared" si="10"/>
        <v>0.84399999999999997</v>
      </c>
      <c r="M16">
        <f t="shared" si="11"/>
        <v>0.91600000000000004</v>
      </c>
      <c r="N16">
        <v>1</v>
      </c>
      <c r="O16">
        <v>0.84399999999999997</v>
      </c>
      <c r="P16">
        <v>0.91600000000000004</v>
      </c>
    </row>
    <row r="17" spans="7:16" x14ac:dyDescent="0.35">
      <c r="G17">
        <v>0.76470588235294112</v>
      </c>
      <c r="H17">
        <v>0.67532467532467533</v>
      </c>
      <c r="I17">
        <v>0.71724137931034482</v>
      </c>
      <c r="K17">
        <f t="shared" si="9"/>
        <v>0.76500000000000001</v>
      </c>
      <c r="L17">
        <f t="shared" si="10"/>
        <v>0.67500000000000004</v>
      </c>
      <c r="M17">
        <f t="shared" si="11"/>
        <v>0.71699999999999997</v>
      </c>
      <c r="N17">
        <v>0.76500000000000001</v>
      </c>
      <c r="O17">
        <v>0.67500000000000004</v>
      </c>
      <c r="P17">
        <v>0.71699999999999997</v>
      </c>
    </row>
    <row r="18" spans="7:16" x14ac:dyDescent="0.35">
      <c r="G18">
        <v>0.94339622641509435</v>
      </c>
      <c r="H18">
        <v>0.76923076923076927</v>
      </c>
      <c r="I18">
        <v>0.84745762711864403</v>
      </c>
      <c r="K18">
        <f t="shared" si="9"/>
        <v>0.94299999999999995</v>
      </c>
      <c r="L18">
        <f t="shared" si="10"/>
        <v>0.76900000000000002</v>
      </c>
      <c r="M18">
        <f t="shared" si="11"/>
        <v>0.84699999999999998</v>
      </c>
      <c r="N18">
        <v>0.94299999999999995</v>
      </c>
      <c r="O18">
        <v>0.76900000000000002</v>
      </c>
      <c r="P18">
        <v>0.84699999999999998</v>
      </c>
    </row>
    <row r="19" spans="7:16" x14ac:dyDescent="0.35">
      <c r="G19">
        <v>1</v>
      </c>
      <c r="H19">
        <v>0.8</v>
      </c>
      <c r="I19">
        <v>0.88888888888888895</v>
      </c>
      <c r="K19">
        <f t="shared" si="9"/>
        <v>1</v>
      </c>
      <c r="L19">
        <f t="shared" si="10"/>
        <v>0.8</v>
      </c>
      <c r="M19">
        <f t="shared" si="11"/>
        <v>0.88900000000000001</v>
      </c>
      <c r="N19">
        <v>1</v>
      </c>
      <c r="O19">
        <v>0.8</v>
      </c>
      <c r="P19">
        <v>0.88900000000000001</v>
      </c>
    </row>
    <row r="20" spans="7:16" x14ac:dyDescent="0.35">
      <c r="G20">
        <v>0.9524793388429752</v>
      </c>
      <c r="H20">
        <v>0.85055350553505538</v>
      </c>
      <c r="I20">
        <v>0.89863547758284601</v>
      </c>
      <c r="K20">
        <f t="shared" si="9"/>
        <v>0.95199999999999996</v>
      </c>
      <c r="L20">
        <f t="shared" si="10"/>
        <v>0.85099999999999998</v>
      </c>
      <c r="M20">
        <f t="shared" si="11"/>
        <v>0.89900000000000002</v>
      </c>
      <c r="N20">
        <v>0.95199999999999996</v>
      </c>
      <c r="O20">
        <v>0.85099999999999998</v>
      </c>
      <c r="P20">
        <v>0.89900000000000002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L26" sqref="L26"/>
    </sheetView>
  </sheetViews>
  <sheetFormatPr defaultRowHeight="14.5" x14ac:dyDescent="0.35"/>
  <sheetData>
    <row r="1" spans="1:5" x14ac:dyDescent="0.35">
      <c r="A1" s="1" t="s">
        <v>7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 s="1" t="s">
        <v>10</v>
      </c>
      <c r="B2">
        <v>0.95499999999999996</v>
      </c>
      <c r="C2">
        <v>0.85599999999999998</v>
      </c>
      <c r="D2">
        <v>0.90100000000000002</v>
      </c>
      <c r="E2">
        <v>0.89200000000000002</v>
      </c>
    </row>
    <row r="3" spans="1:5" x14ac:dyDescent="0.35">
      <c r="A3" s="1" t="s">
        <v>18</v>
      </c>
      <c r="B3">
        <v>0.96</v>
      </c>
      <c r="C3">
        <v>0.86499999999999999</v>
      </c>
      <c r="D3">
        <v>0.90700000000000003</v>
      </c>
      <c r="E3">
        <v>0.89800000000000002</v>
      </c>
    </row>
    <row r="4" spans="1:5" x14ac:dyDescent="0.35">
      <c r="A4" s="1" t="s">
        <v>17</v>
      </c>
      <c r="B4">
        <v>0.95699999999999996</v>
      </c>
      <c r="C4">
        <v>0.86099999999999999</v>
      </c>
      <c r="D4">
        <v>0.90500000000000003</v>
      </c>
      <c r="E4">
        <v>0.89500000000000002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12" sqref="A12:XFD12"/>
    </sheetView>
  </sheetViews>
  <sheetFormatPr defaultRowHeight="14.5" x14ac:dyDescent="0.35"/>
  <cols>
    <col min="1" max="1" width="17.453125" bestFit="1" customWidth="1"/>
  </cols>
  <sheetData>
    <row r="1" spans="1:9" x14ac:dyDescent="0.35">
      <c r="A1" s="1"/>
      <c r="B1" s="2" t="s">
        <v>5</v>
      </c>
      <c r="C1" s="2"/>
      <c r="D1" s="2" t="s">
        <v>4</v>
      </c>
      <c r="E1" s="2"/>
      <c r="F1" s="2" t="s">
        <v>2</v>
      </c>
      <c r="G1" s="2"/>
      <c r="H1" s="2" t="s">
        <v>3</v>
      </c>
      <c r="I1" s="2"/>
    </row>
    <row r="2" spans="1:9" x14ac:dyDescent="0.35">
      <c r="A2" s="1" t="s">
        <v>7</v>
      </c>
      <c r="B2" s="1" t="s">
        <v>10</v>
      </c>
      <c r="C2" s="1" t="s">
        <v>18</v>
      </c>
      <c r="D2" s="1" t="s">
        <v>10</v>
      </c>
      <c r="E2" s="1" t="s">
        <v>18</v>
      </c>
      <c r="F2" s="1" t="s">
        <v>10</v>
      </c>
      <c r="G2" s="1" t="s">
        <v>18</v>
      </c>
      <c r="H2" s="1" t="s">
        <v>10</v>
      </c>
      <c r="I2" s="1" t="s">
        <v>18</v>
      </c>
    </row>
    <row r="3" spans="1:9" x14ac:dyDescent="0.35">
      <c r="A3" s="1" t="s">
        <v>1</v>
      </c>
    </row>
    <row r="4" spans="1:9" x14ac:dyDescent="0.35">
      <c r="A4" s="1" t="s">
        <v>9</v>
      </c>
      <c r="B4">
        <v>0.93300000000000005</v>
      </c>
      <c r="C4">
        <v>0.89200000000000002</v>
      </c>
      <c r="D4">
        <v>0.93200000000000005</v>
      </c>
      <c r="E4">
        <v>0.89600000000000002</v>
      </c>
      <c r="F4">
        <v>0.98199999999999998</v>
      </c>
      <c r="G4">
        <v>0.88900000000000001</v>
      </c>
      <c r="H4">
        <v>0.88700000000000001</v>
      </c>
      <c r="I4">
        <v>0.90300000000000002</v>
      </c>
    </row>
    <row r="5" spans="1:9" x14ac:dyDescent="0.35">
      <c r="A5" s="1" t="s">
        <v>11</v>
      </c>
      <c r="B5">
        <v>0.98299999999999998</v>
      </c>
      <c r="C5">
        <v>0.97499999999999998</v>
      </c>
      <c r="D5">
        <v>0.98399999999999999</v>
      </c>
      <c r="E5">
        <v>0.97499999999999998</v>
      </c>
      <c r="F5">
        <v>0.98399999999999999</v>
      </c>
      <c r="G5">
        <v>1</v>
      </c>
      <c r="H5">
        <v>0.98399999999999999</v>
      </c>
      <c r="I5">
        <v>0.95199999999999996</v>
      </c>
    </row>
    <row r="6" spans="1:9" x14ac:dyDescent="0.35">
      <c r="A6" s="1" t="s">
        <v>12</v>
      </c>
      <c r="B6">
        <v>0.92500000000000004</v>
      </c>
      <c r="C6">
        <v>0.92500000000000004</v>
      </c>
      <c r="D6">
        <v>0.92900000000000005</v>
      </c>
      <c r="E6">
        <v>0.92900000000000005</v>
      </c>
      <c r="F6">
        <v>0.96699999999999997</v>
      </c>
      <c r="G6">
        <v>0.96699999999999997</v>
      </c>
      <c r="H6">
        <v>0.89400000000000002</v>
      </c>
      <c r="I6">
        <v>0.89400000000000002</v>
      </c>
    </row>
    <row r="7" spans="1:9" x14ac:dyDescent="0.35">
      <c r="A7" s="1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5">
      <c r="A8" s="1" t="s">
        <v>10</v>
      </c>
      <c r="B8">
        <v>0.88300000000000001</v>
      </c>
      <c r="C8">
        <v>0.78300000000000003</v>
      </c>
      <c r="D8">
        <v>0.91600000000000004</v>
      </c>
      <c r="E8">
        <v>0.83099999999999996</v>
      </c>
      <c r="F8">
        <v>1</v>
      </c>
      <c r="G8">
        <v>1</v>
      </c>
      <c r="H8">
        <v>0.84399999999999997</v>
      </c>
      <c r="I8">
        <v>0.71099999999999997</v>
      </c>
    </row>
    <row r="9" spans="1:9" x14ac:dyDescent="0.35">
      <c r="A9" s="1" t="s">
        <v>14</v>
      </c>
      <c r="B9">
        <v>0.65800000000000003</v>
      </c>
      <c r="C9">
        <v>0.80800000000000005</v>
      </c>
      <c r="D9">
        <v>0.71699999999999997</v>
      </c>
      <c r="E9">
        <v>0.83899999999999997</v>
      </c>
      <c r="F9">
        <v>0.76500000000000001</v>
      </c>
      <c r="G9">
        <v>0.90900000000000003</v>
      </c>
      <c r="H9">
        <v>0.67500000000000004</v>
      </c>
      <c r="I9">
        <v>0.77900000000000003</v>
      </c>
    </row>
    <row r="10" spans="1:9" x14ac:dyDescent="0.35">
      <c r="A10" s="1" t="s">
        <v>15</v>
      </c>
      <c r="B10">
        <v>0.85</v>
      </c>
      <c r="C10">
        <v>0.8</v>
      </c>
      <c r="D10">
        <v>0.84699999999999998</v>
      </c>
      <c r="E10">
        <v>0.78900000000000003</v>
      </c>
      <c r="F10">
        <v>0.94299999999999995</v>
      </c>
      <c r="G10">
        <v>0.91800000000000004</v>
      </c>
      <c r="H10">
        <v>0.76900000000000002</v>
      </c>
      <c r="I10">
        <v>0.69199999999999995</v>
      </c>
    </row>
    <row r="11" spans="1:9" x14ac:dyDescent="0.35">
      <c r="A11" s="1" t="s">
        <v>16</v>
      </c>
      <c r="B11">
        <v>0.9</v>
      </c>
      <c r="C11">
        <v>1</v>
      </c>
      <c r="D11">
        <v>0.88900000000000001</v>
      </c>
      <c r="E11">
        <v>1</v>
      </c>
      <c r="F11">
        <v>1</v>
      </c>
      <c r="G11">
        <v>1</v>
      </c>
      <c r="H11">
        <v>0.8</v>
      </c>
      <c r="I11">
        <v>1</v>
      </c>
    </row>
    <row r="12" spans="1:9" x14ac:dyDescent="0.35">
      <c r="A12" s="1" t="s">
        <v>17</v>
      </c>
      <c r="B12">
        <v>0.89200000000000002</v>
      </c>
      <c r="C12">
        <v>0.89800000000000002</v>
      </c>
      <c r="D12">
        <v>0.89900000000000002</v>
      </c>
      <c r="E12">
        <v>0.90400000000000003</v>
      </c>
      <c r="F12">
        <v>0.95199999999999996</v>
      </c>
      <c r="G12">
        <v>0.96099999999999997</v>
      </c>
      <c r="H12">
        <v>0.85099999999999998</v>
      </c>
      <c r="I12">
        <v>0.85399999999999998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H12" sqref="H12"/>
    </sheetView>
  </sheetViews>
  <sheetFormatPr defaultRowHeight="14.5" x14ac:dyDescent="0.35"/>
  <cols>
    <col min="1" max="1" width="17.453125" bestFit="1" customWidth="1"/>
    <col min="2" max="2" width="17.6328125" bestFit="1" customWidth="1"/>
    <col min="3" max="3" width="23.1796875" bestFit="1" customWidth="1"/>
  </cols>
  <sheetData>
    <row r="1" spans="1:3" x14ac:dyDescent="0.35">
      <c r="A1" s="1" t="s">
        <v>1</v>
      </c>
      <c r="B1" s="1" t="s">
        <v>19</v>
      </c>
      <c r="C1" s="1" t="s">
        <v>20</v>
      </c>
    </row>
    <row r="2" spans="1:3" x14ac:dyDescent="0.35">
      <c r="A2" s="1" t="s">
        <v>9</v>
      </c>
      <c r="B2">
        <v>-3.5999999999999997E-2</v>
      </c>
      <c r="C2">
        <v>-4.1000000000000002E-2</v>
      </c>
    </row>
    <row r="3" spans="1:3" x14ac:dyDescent="0.35">
      <c r="A3" s="1" t="s">
        <v>11</v>
      </c>
      <c r="B3">
        <v>-8.9999999999999993E-3</v>
      </c>
      <c r="C3">
        <v>-8.0000000000000002E-3</v>
      </c>
    </row>
    <row r="4" spans="1:3" x14ac:dyDescent="0.35">
      <c r="A4" s="1" t="s">
        <v>12</v>
      </c>
      <c r="B4">
        <v>0</v>
      </c>
      <c r="C4">
        <v>0</v>
      </c>
    </row>
    <row r="5" spans="1:3" x14ac:dyDescent="0.35">
      <c r="A5" s="1" t="s">
        <v>13</v>
      </c>
      <c r="B5">
        <v>0</v>
      </c>
      <c r="C5">
        <v>0</v>
      </c>
    </row>
    <row r="6" spans="1:3" x14ac:dyDescent="0.35">
      <c r="A6" s="1" t="s">
        <v>10</v>
      </c>
      <c r="B6">
        <v>-8.5000000000000006E-2</v>
      </c>
      <c r="C6">
        <v>-0.1</v>
      </c>
    </row>
    <row r="7" spans="1:3" x14ac:dyDescent="0.35">
      <c r="A7" s="1" t="s">
        <v>17</v>
      </c>
      <c r="B7">
        <v>5.0000000000000001E-3</v>
      </c>
      <c r="C7">
        <v>6.0000000000000001E-3</v>
      </c>
    </row>
    <row r="8" spans="1:3" x14ac:dyDescent="0.35">
      <c r="A8" s="1" t="s">
        <v>14</v>
      </c>
      <c r="B8">
        <v>0.122</v>
      </c>
      <c r="C8">
        <v>0.15</v>
      </c>
    </row>
    <row r="9" spans="1:3" x14ac:dyDescent="0.35">
      <c r="A9" s="1" t="s">
        <v>15</v>
      </c>
      <c r="B9">
        <v>-5.8000000000000003E-2</v>
      </c>
      <c r="C9">
        <v>-0.05</v>
      </c>
    </row>
    <row r="10" spans="1:3" x14ac:dyDescent="0.35">
      <c r="A10" s="1" t="s">
        <v>16</v>
      </c>
      <c r="B10">
        <v>0.111</v>
      </c>
      <c r="C10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Context_Summary</vt:lpstr>
      <vt:lpstr>Criterion_Comparison</vt:lpstr>
      <vt:lpstr>Context_Impact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2026-01-30T12:30:00Z</dcterms:created>
  <dcterms:modified xsi:type="dcterms:W3CDTF">2026-01-30T13:04:08Z</dcterms:modified>
</cp:coreProperties>
</file>