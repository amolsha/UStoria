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docs\QIP\2025-26\EVEN_2025-26\PaperWriting_EVEN_2025-26\UStoria_Paper\RESULTS\META_EVALUATION\"/>
    </mc:Choice>
  </mc:AlternateContent>
  <bookViews>
    <workbookView xWindow="-120" yWindow="-120" windowWidth="20730" windowHeight="11160"/>
  </bookViews>
  <sheets>
    <sheet name="Per_Model_Context_Criterion" sheetId="1" r:id="rId1"/>
    <sheet name="Per_Criterion_Model_Context" sheetId="5" r:id="rId2"/>
    <sheet name="Per_Model_Context" sheetId="2" r:id="rId3"/>
    <sheet name="Per_Criterion" sheetId="4" r:id="rId4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8" i="5" l="1"/>
  <c r="I97" i="5"/>
  <c r="I96" i="5"/>
  <c r="I95" i="5"/>
  <c r="I94" i="5"/>
  <c r="I93" i="5"/>
  <c r="I92" i="5"/>
  <c r="I91" i="5"/>
  <c r="I90" i="5"/>
  <c r="I89" i="5"/>
  <c r="I88" i="5"/>
  <c r="I87" i="5"/>
  <c r="I86" i="5"/>
  <c r="I85" i="5"/>
  <c r="I84" i="5"/>
  <c r="I83" i="5"/>
  <c r="I82" i="5"/>
  <c r="I81" i="5"/>
  <c r="I80" i="5"/>
  <c r="I79" i="5"/>
  <c r="I78" i="5"/>
  <c r="I77" i="5"/>
  <c r="I76" i="5"/>
  <c r="I75" i="5"/>
  <c r="I74" i="5"/>
  <c r="I73" i="5"/>
  <c r="I72" i="5"/>
  <c r="I71" i="5"/>
  <c r="I70" i="5"/>
  <c r="I69" i="5"/>
  <c r="I68" i="5"/>
  <c r="I67" i="5"/>
  <c r="I66" i="5"/>
  <c r="I65" i="5"/>
  <c r="I64" i="5"/>
  <c r="I63" i="5"/>
  <c r="I62" i="5"/>
  <c r="I61" i="5"/>
  <c r="I60" i="5"/>
  <c r="I59" i="5"/>
  <c r="I58" i="5"/>
  <c r="I57" i="5"/>
  <c r="I56" i="5"/>
  <c r="I55" i="5"/>
  <c r="I54" i="5"/>
  <c r="I53" i="5"/>
  <c r="I52" i="5"/>
  <c r="I51" i="5"/>
  <c r="J51" i="5" s="1"/>
  <c r="I50" i="5"/>
  <c r="I49" i="5"/>
  <c r="I48" i="5"/>
  <c r="I47" i="5"/>
  <c r="I46" i="5"/>
  <c r="I45" i="5"/>
  <c r="I44" i="5"/>
  <c r="I43" i="5"/>
  <c r="I42" i="5"/>
  <c r="I41" i="5"/>
  <c r="I40" i="5"/>
  <c r="I39" i="5"/>
  <c r="I38" i="5"/>
  <c r="I37" i="5"/>
  <c r="I36" i="5"/>
  <c r="I35" i="5"/>
  <c r="I34" i="5"/>
  <c r="I33" i="5"/>
  <c r="I32" i="5"/>
  <c r="I31" i="5"/>
  <c r="I30" i="5"/>
  <c r="I29" i="5"/>
  <c r="I28" i="5"/>
  <c r="I27" i="5"/>
  <c r="I26" i="5"/>
  <c r="I25" i="5"/>
  <c r="I24" i="5"/>
  <c r="I23" i="5"/>
  <c r="I22" i="5"/>
  <c r="I21" i="5"/>
  <c r="I20" i="5"/>
  <c r="I19" i="5"/>
  <c r="I18" i="5"/>
  <c r="I17" i="5"/>
  <c r="I16" i="5"/>
  <c r="I15" i="5"/>
  <c r="I14" i="5"/>
  <c r="I13" i="5"/>
  <c r="I12" i="5"/>
  <c r="I11" i="5"/>
  <c r="I10" i="5"/>
  <c r="I9" i="5"/>
  <c r="I8" i="5"/>
  <c r="I7" i="5"/>
  <c r="I6" i="5"/>
  <c r="I5" i="5"/>
  <c r="I4" i="5"/>
  <c r="I3" i="5"/>
  <c r="J75" i="5" l="1"/>
  <c r="J3" i="5"/>
  <c r="J27" i="5"/>
  <c r="J63" i="5"/>
  <c r="J15" i="5"/>
  <c r="J39" i="5"/>
  <c r="J87" i="5"/>
  <c r="G4" i="2"/>
  <c r="G5" i="2"/>
  <c r="G6" i="2"/>
  <c r="G7" i="2"/>
  <c r="G8" i="2"/>
  <c r="G9" i="2"/>
  <c r="G10" i="2"/>
  <c r="G11" i="2"/>
  <c r="G12" i="2"/>
  <c r="G13" i="2"/>
  <c r="G14" i="2"/>
  <c r="G3" i="2"/>
  <c r="H11" i="2" l="1"/>
  <c r="H5" i="2"/>
  <c r="H13" i="2"/>
  <c r="H9" i="2"/>
  <c r="H7" i="2"/>
  <c r="H3" i="2"/>
</calcChain>
</file>

<file path=xl/sharedStrings.xml><?xml version="1.0" encoding="utf-8"?>
<sst xmlns="http://schemas.openxmlformats.org/spreadsheetml/2006/main" count="638" uniqueCount="26">
  <si>
    <t>model</t>
  </si>
  <si>
    <t>context</t>
  </si>
  <si>
    <t>criterion</t>
  </si>
  <si>
    <t>deepseek-chat</t>
  </si>
  <si>
    <t>minimal</t>
  </si>
  <si>
    <t>Atomic</t>
  </si>
  <si>
    <t>Conceptually sound</t>
  </si>
  <si>
    <t>Estimable</t>
  </si>
  <si>
    <t>Full sentence</t>
  </si>
  <si>
    <t>Minimal</t>
  </si>
  <si>
    <t>Problem-oriented</t>
  </si>
  <si>
    <t>Unambiguous</t>
  </si>
  <si>
    <t>Well-formed</t>
  </si>
  <si>
    <t>rich</t>
  </si>
  <si>
    <t>gemini-2.5-flash</t>
  </si>
  <si>
    <t>gpt-4.1-mini</t>
  </si>
  <si>
    <t>gpt-5-mini</t>
  </si>
  <si>
    <t>grok-4-fast</t>
  </si>
  <si>
    <t>qwen-turbo</t>
  </si>
  <si>
    <t>RATER 2</t>
  </si>
  <si>
    <t>RATER 4</t>
  </si>
  <si>
    <t>RATER 1</t>
  </si>
  <si>
    <t>RATER 3</t>
  </si>
  <si>
    <t>MEAN</t>
  </si>
  <si>
    <t>SD</t>
  </si>
  <si>
    <t>MISD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</si>
</sst>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00"/>
    <numFmt numFmtId="165" formatCode="0.0000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2" fontId="0" fillId="0" borderId="1" xfId="0" applyNumberFormat="1" applyBorder="1"/>
    <xf numFmtId="0" fontId="2" fillId="0" borderId="1" xfId="0" applyFont="1" applyBorder="1" applyAlignment="1">
      <alignment horizontal="center"/>
    </xf>
    <xf numFmtId="0" fontId="2" fillId="0" borderId="1" xfId="0" applyFont="1" applyBorder="1"/>
    <xf numFmtId="2" fontId="0" fillId="0" borderId="0" xfId="0" applyNumberFormat="1"/>
    <xf numFmtId="0" fontId="2" fillId="2" borderId="1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165" fontId="2" fillId="0" borderId="1" xfId="0" applyNumberFormat="1" applyFont="1" applyBorder="1"/>
    <xf numFmtId="164" fontId="2" fillId="0" borderId="1" xfId="0" applyNumberFormat="1" applyFont="1" applyBorder="1" applyAlignment="1">
      <alignment horizontal="center" vertical="center"/>
    </xf>
    <xf numFmtId="2" fontId="0" fillId="0" borderId="1" xfId="0" applyNumberFormat="1" applyBorder="1" applyAlignment="1">
      <alignment horizontal="center"/>
    </xf>
    <xf numFmtId="0" fontId="0" fillId="0" borderId="0" xfId="0" applyAlignment="1">
      <alignment horizontal="center"/>
    </xf>
    <xf numFmtId="0" fontId="2" fillId="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98"/>
  <sheetViews>
    <sheetView tabSelected="1" workbookViewId="0">
      <selection activeCell="O15" sqref="O15"/>
    </sheetView>
  </sheetViews>
  <sheetFormatPr defaultRowHeight="14.5" x14ac:dyDescent="0.35"/>
  <cols>
    <col min="1" max="1" width="15.54296875" bestFit="1" customWidth="1"/>
    <col min="2" max="2" width="8.26953125" bestFit="1" customWidth="1"/>
    <col min="3" max="3" width="18.7265625" bestFit="1" customWidth="1"/>
    <col min="4" max="7" width="12.7265625" style="13" customWidth="1"/>
  </cols>
  <sheetData>
    <row r="1" spans="1:7" x14ac:dyDescent="0.35">
      <c r="D1" s="4"/>
      <c r="E1" s="4"/>
      <c r="F1" s="4"/>
      <c r="G1" s="4"/>
    </row>
    <row r="2" spans="1:7" x14ac:dyDescent="0.35">
      <c r="A2" s="1" t="s">
        <v>0</v>
      </c>
      <c r="B2" s="1" t="s">
        <v>1</v>
      </c>
      <c r="C2" s="1" t="s">
        <v>2</v>
      </c>
      <c r="D2" s="4" t="s">
        <v>21</v>
      </c>
      <c r="E2" s="4" t="s">
        <v>19</v>
      </c>
      <c r="F2" s="4" t="s">
        <v>22</v>
      </c>
      <c r="G2" s="4" t="s">
        <v>20</v>
      </c>
    </row>
    <row r="3" spans="1:7" x14ac:dyDescent="0.35">
      <c r="A3" s="2" t="s">
        <v>3</v>
      </c>
      <c r="B3" s="2" t="s">
        <v>4</v>
      </c>
      <c r="C3" s="2" t="s">
        <v>5</v>
      </c>
      <c r="D3" s="12">
        <v>0.73333333333333328</v>
      </c>
      <c r="E3" s="12">
        <v>0.93333333333333335</v>
      </c>
      <c r="F3" s="12">
        <v>0.8666666666666667</v>
      </c>
      <c r="G3" s="12">
        <v>0.93333333333333335</v>
      </c>
    </row>
    <row r="4" spans="1:7" x14ac:dyDescent="0.35">
      <c r="A4" s="2" t="s">
        <v>3</v>
      </c>
      <c r="B4" s="2" t="s">
        <v>4</v>
      </c>
      <c r="C4" s="2" t="s">
        <v>6</v>
      </c>
      <c r="D4" s="12">
        <v>0.66666666666666663</v>
      </c>
      <c r="E4" s="12">
        <v>0.53333333333333333</v>
      </c>
      <c r="F4" s="12">
        <v>0.8</v>
      </c>
      <c r="G4" s="12">
        <v>0.6333333333333333</v>
      </c>
    </row>
    <row r="5" spans="1:7" x14ac:dyDescent="0.35">
      <c r="A5" s="2" t="s">
        <v>3</v>
      </c>
      <c r="B5" s="2" t="s">
        <v>4</v>
      </c>
      <c r="C5" s="2" t="s">
        <v>7</v>
      </c>
      <c r="D5" s="12">
        <v>0.73333333333333328</v>
      </c>
      <c r="E5" s="12">
        <v>0.73333333333333328</v>
      </c>
      <c r="F5" s="12">
        <v>0.9</v>
      </c>
      <c r="G5" s="12">
        <v>1</v>
      </c>
    </row>
    <row r="6" spans="1:7" x14ac:dyDescent="0.35">
      <c r="A6" s="2" t="s">
        <v>3</v>
      </c>
      <c r="B6" s="2" t="s">
        <v>4</v>
      </c>
      <c r="C6" s="2" t="s">
        <v>8</v>
      </c>
      <c r="D6" s="12">
        <v>0.5</v>
      </c>
      <c r="E6" s="12">
        <v>0.8666666666666667</v>
      </c>
      <c r="F6" s="12">
        <v>0.53333333333333333</v>
      </c>
      <c r="G6" s="12">
        <v>0.76666666666666672</v>
      </c>
    </row>
    <row r="7" spans="1:7" x14ac:dyDescent="0.35">
      <c r="A7" s="2" t="s">
        <v>3</v>
      </c>
      <c r="B7" s="2" t="s">
        <v>4</v>
      </c>
      <c r="C7" s="2" t="s">
        <v>9</v>
      </c>
      <c r="D7" s="12">
        <v>0.93333333333333335</v>
      </c>
      <c r="E7" s="12">
        <v>0.93333333333333335</v>
      </c>
      <c r="F7" s="12">
        <v>0.8666666666666667</v>
      </c>
      <c r="G7" s="12">
        <v>0.8</v>
      </c>
    </row>
    <row r="8" spans="1:7" x14ac:dyDescent="0.35">
      <c r="A8" s="2" t="s">
        <v>3</v>
      </c>
      <c r="B8" s="2" t="s">
        <v>4</v>
      </c>
      <c r="C8" s="2" t="s">
        <v>10</v>
      </c>
      <c r="D8" s="12">
        <v>1</v>
      </c>
      <c r="E8" s="12">
        <v>0.9</v>
      </c>
      <c r="F8" s="12">
        <v>0.93333333333333335</v>
      </c>
      <c r="G8" s="12">
        <v>0.7</v>
      </c>
    </row>
    <row r="9" spans="1:7" x14ac:dyDescent="0.35">
      <c r="A9" s="2" t="s">
        <v>3</v>
      </c>
      <c r="B9" s="2" t="s">
        <v>4</v>
      </c>
      <c r="C9" s="2" t="s">
        <v>11</v>
      </c>
      <c r="D9" s="12">
        <v>0.96666666666666667</v>
      </c>
      <c r="E9" s="12">
        <v>0.93333333333333335</v>
      </c>
      <c r="F9" s="12">
        <v>0.96666666666666667</v>
      </c>
      <c r="G9" s="12">
        <v>0.96666666666666667</v>
      </c>
    </row>
    <row r="10" spans="1:7" x14ac:dyDescent="0.35">
      <c r="A10" s="2" t="s">
        <v>3</v>
      </c>
      <c r="B10" s="2" t="s">
        <v>4</v>
      </c>
      <c r="C10" s="2" t="s">
        <v>12</v>
      </c>
      <c r="D10" s="12">
        <v>0.8</v>
      </c>
      <c r="E10" s="12">
        <v>0.8</v>
      </c>
      <c r="F10" s="12">
        <v>0.76666666666666672</v>
      </c>
      <c r="G10" s="12">
        <v>0.6</v>
      </c>
    </row>
    <row r="11" spans="1:7" x14ac:dyDescent="0.35">
      <c r="A11" s="2" t="s">
        <v>3</v>
      </c>
      <c r="B11" s="2" t="s">
        <v>13</v>
      </c>
      <c r="C11" s="2" t="s">
        <v>5</v>
      </c>
      <c r="D11" s="12">
        <v>1</v>
      </c>
      <c r="E11" s="12">
        <v>0.93333333333333335</v>
      </c>
      <c r="F11" s="12">
        <v>0.8666666666666667</v>
      </c>
      <c r="G11" s="12">
        <v>0.93333333333333335</v>
      </c>
    </row>
    <row r="12" spans="1:7" x14ac:dyDescent="0.35">
      <c r="A12" s="2" t="s">
        <v>3</v>
      </c>
      <c r="B12" s="2" t="s">
        <v>13</v>
      </c>
      <c r="C12" s="2" t="s">
        <v>6</v>
      </c>
      <c r="D12" s="12">
        <v>0.53333333333333333</v>
      </c>
      <c r="E12" s="12">
        <v>0.53333333333333333</v>
      </c>
      <c r="F12" s="12">
        <v>0.66666666666666663</v>
      </c>
      <c r="G12" s="12">
        <v>0.73333333333333328</v>
      </c>
    </row>
    <row r="13" spans="1:7" x14ac:dyDescent="0.35">
      <c r="A13" s="2" t="s">
        <v>3</v>
      </c>
      <c r="B13" s="2" t="s">
        <v>13</v>
      </c>
      <c r="C13" s="2" t="s">
        <v>7</v>
      </c>
      <c r="D13" s="12">
        <v>0.8</v>
      </c>
      <c r="E13" s="12">
        <v>0.8</v>
      </c>
      <c r="F13" s="12">
        <v>0.8</v>
      </c>
      <c r="G13" s="12">
        <v>0.93333333333333335</v>
      </c>
    </row>
    <row r="14" spans="1:7" x14ac:dyDescent="0.35">
      <c r="A14" s="2" t="s">
        <v>3</v>
      </c>
      <c r="B14" s="2" t="s">
        <v>13</v>
      </c>
      <c r="C14" s="2" t="s">
        <v>8</v>
      </c>
      <c r="D14" s="12">
        <v>0.8</v>
      </c>
      <c r="E14" s="12">
        <v>0.6</v>
      </c>
      <c r="F14" s="12">
        <v>0.6</v>
      </c>
      <c r="G14" s="12">
        <v>0.6</v>
      </c>
    </row>
    <row r="15" spans="1:7" x14ac:dyDescent="0.35">
      <c r="A15" s="2" t="s">
        <v>3</v>
      </c>
      <c r="B15" s="2" t="s">
        <v>13</v>
      </c>
      <c r="C15" s="2" t="s">
        <v>9</v>
      </c>
      <c r="D15" s="12">
        <v>0.73333333333333328</v>
      </c>
      <c r="E15" s="12">
        <v>0.73333333333333328</v>
      </c>
      <c r="F15" s="12">
        <v>0.8</v>
      </c>
      <c r="G15" s="12">
        <v>0.73333333333333328</v>
      </c>
    </row>
    <row r="16" spans="1:7" x14ac:dyDescent="0.35">
      <c r="A16" s="2" t="s">
        <v>3</v>
      </c>
      <c r="B16" s="2" t="s">
        <v>13</v>
      </c>
      <c r="C16" s="2" t="s">
        <v>10</v>
      </c>
      <c r="D16" s="12">
        <v>0.8666666666666667</v>
      </c>
      <c r="E16" s="12">
        <v>0.8666666666666667</v>
      </c>
      <c r="F16" s="12">
        <v>0.8</v>
      </c>
      <c r="G16" s="12">
        <v>0.8</v>
      </c>
    </row>
    <row r="17" spans="1:7" x14ac:dyDescent="0.35">
      <c r="A17" s="2" t="s">
        <v>3</v>
      </c>
      <c r="B17" s="2" t="s">
        <v>13</v>
      </c>
      <c r="C17" s="2" t="s">
        <v>11</v>
      </c>
      <c r="D17" s="12">
        <v>1</v>
      </c>
      <c r="E17" s="12">
        <v>0.96666666666666667</v>
      </c>
      <c r="F17" s="12">
        <v>1</v>
      </c>
      <c r="G17" s="12">
        <v>1</v>
      </c>
    </row>
    <row r="18" spans="1:7" x14ac:dyDescent="0.35">
      <c r="A18" s="2" t="s">
        <v>3</v>
      </c>
      <c r="B18" s="2" t="s">
        <v>13</v>
      </c>
      <c r="C18" s="2" t="s">
        <v>12</v>
      </c>
      <c r="D18" s="12">
        <v>0.8</v>
      </c>
      <c r="E18" s="12">
        <v>0.73333333333333328</v>
      </c>
      <c r="F18" s="12">
        <v>0.8666666666666667</v>
      </c>
      <c r="G18" s="12">
        <v>0.73333333333333328</v>
      </c>
    </row>
    <row r="19" spans="1:7" x14ac:dyDescent="0.35">
      <c r="A19" s="2" t="s">
        <v>14</v>
      </c>
      <c r="B19" s="2" t="s">
        <v>4</v>
      </c>
      <c r="C19" s="2" t="s">
        <v>5</v>
      </c>
      <c r="D19" s="12">
        <v>1</v>
      </c>
      <c r="E19" s="12">
        <v>0.8666666666666667</v>
      </c>
      <c r="F19" s="12">
        <v>0.93333333333333335</v>
      </c>
      <c r="G19" s="12">
        <v>0.8666666666666667</v>
      </c>
    </row>
    <row r="20" spans="1:7" x14ac:dyDescent="0.35">
      <c r="A20" s="2" t="s">
        <v>14</v>
      </c>
      <c r="B20" s="2" t="s">
        <v>4</v>
      </c>
      <c r="C20" s="2" t="s">
        <v>6</v>
      </c>
      <c r="D20" s="12">
        <v>0.7</v>
      </c>
      <c r="E20" s="12">
        <v>0.76666666666666672</v>
      </c>
      <c r="F20" s="12">
        <v>0.73333333333333328</v>
      </c>
      <c r="G20" s="12">
        <v>0.8</v>
      </c>
    </row>
    <row r="21" spans="1:7" x14ac:dyDescent="0.35">
      <c r="A21" s="2" t="s">
        <v>14</v>
      </c>
      <c r="B21" s="2" t="s">
        <v>4</v>
      </c>
      <c r="C21" s="2" t="s">
        <v>7</v>
      </c>
      <c r="D21" s="12">
        <v>1</v>
      </c>
      <c r="E21" s="12">
        <v>0.93333333333333335</v>
      </c>
      <c r="F21" s="12">
        <v>0.93333333333333335</v>
      </c>
      <c r="G21" s="12">
        <v>0.8666666666666667</v>
      </c>
    </row>
    <row r="22" spans="1:7" x14ac:dyDescent="0.35">
      <c r="A22" s="2" t="s">
        <v>14</v>
      </c>
      <c r="B22" s="2" t="s">
        <v>4</v>
      </c>
      <c r="C22" s="2" t="s">
        <v>8</v>
      </c>
      <c r="D22" s="12">
        <v>0.8</v>
      </c>
      <c r="E22" s="12">
        <v>0.66666666666666663</v>
      </c>
      <c r="F22" s="12">
        <v>0.73333333333333328</v>
      </c>
      <c r="G22" s="12">
        <v>0.9</v>
      </c>
    </row>
    <row r="23" spans="1:7" x14ac:dyDescent="0.35">
      <c r="A23" s="2" t="s">
        <v>14</v>
      </c>
      <c r="B23" s="2" t="s">
        <v>4</v>
      </c>
      <c r="C23" s="2" t="s">
        <v>9</v>
      </c>
      <c r="D23" s="12">
        <v>0.73333333333333328</v>
      </c>
      <c r="E23" s="12">
        <v>0.66666666666666663</v>
      </c>
      <c r="F23" s="12">
        <v>1</v>
      </c>
      <c r="G23" s="12">
        <v>0.93333333333333335</v>
      </c>
    </row>
    <row r="24" spans="1:7" x14ac:dyDescent="0.35">
      <c r="A24" s="2" t="s">
        <v>14</v>
      </c>
      <c r="B24" s="2" t="s">
        <v>4</v>
      </c>
      <c r="C24" s="2" t="s">
        <v>10</v>
      </c>
      <c r="D24" s="12">
        <v>0.56666666666666665</v>
      </c>
      <c r="E24" s="12">
        <v>0.6</v>
      </c>
      <c r="F24" s="12">
        <v>0.6333333333333333</v>
      </c>
      <c r="G24" s="12">
        <v>0.56666666666666665</v>
      </c>
    </row>
    <row r="25" spans="1:7" x14ac:dyDescent="0.35">
      <c r="A25" s="2" t="s">
        <v>14</v>
      </c>
      <c r="B25" s="2" t="s">
        <v>4</v>
      </c>
      <c r="C25" s="2" t="s">
        <v>11</v>
      </c>
      <c r="D25" s="12">
        <v>1</v>
      </c>
      <c r="E25" s="12">
        <v>1</v>
      </c>
      <c r="F25" s="12">
        <v>1</v>
      </c>
      <c r="G25" s="12">
        <v>1</v>
      </c>
    </row>
    <row r="26" spans="1:7" x14ac:dyDescent="0.35">
      <c r="A26" s="2" t="s">
        <v>14</v>
      </c>
      <c r="B26" s="2" t="s">
        <v>4</v>
      </c>
      <c r="C26" s="2" t="s">
        <v>12</v>
      </c>
      <c r="D26" s="12">
        <v>0.73333333333333328</v>
      </c>
      <c r="E26" s="12">
        <v>0.83333333333333337</v>
      </c>
      <c r="F26" s="12">
        <v>0.56666666666666665</v>
      </c>
      <c r="G26" s="12">
        <v>0.6</v>
      </c>
    </row>
    <row r="27" spans="1:7" x14ac:dyDescent="0.35">
      <c r="A27" s="2" t="s">
        <v>14</v>
      </c>
      <c r="B27" s="2" t="s">
        <v>13</v>
      </c>
      <c r="C27" s="2" t="s">
        <v>5</v>
      </c>
      <c r="D27" s="12">
        <v>0.8</v>
      </c>
      <c r="E27" s="12">
        <v>1</v>
      </c>
      <c r="F27" s="12">
        <v>0.93333333333333335</v>
      </c>
      <c r="G27" s="12">
        <v>0.93333333333333335</v>
      </c>
    </row>
    <row r="28" spans="1:7" x14ac:dyDescent="0.35">
      <c r="A28" s="2" t="s">
        <v>14</v>
      </c>
      <c r="B28" s="2" t="s">
        <v>13</v>
      </c>
      <c r="C28" s="2" t="s">
        <v>6</v>
      </c>
      <c r="D28" s="12">
        <v>0.9</v>
      </c>
      <c r="E28" s="12">
        <v>0.8</v>
      </c>
      <c r="F28" s="12">
        <v>0.93333333333333335</v>
      </c>
      <c r="G28" s="12">
        <v>0.8666666666666667</v>
      </c>
    </row>
    <row r="29" spans="1:7" x14ac:dyDescent="0.35">
      <c r="A29" s="2" t="s">
        <v>14</v>
      </c>
      <c r="B29" s="2" t="s">
        <v>13</v>
      </c>
      <c r="C29" s="2" t="s">
        <v>7</v>
      </c>
      <c r="D29" s="12">
        <v>0.8666666666666667</v>
      </c>
      <c r="E29" s="12">
        <v>0.93333333333333335</v>
      </c>
      <c r="F29" s="12">
        <v>0.9</v>
      </c>
      <c r="G29" s="12">
        <v>1</v>
      </c>
    </row>
    <row r="30" spans="1:7" x14ac:dyDescent="0.35">
      <c r="A30" s="2" t="s">
        <v>14</v>
      </c>
      <c r="B30" s="2" t="s">
        <v>13</v>
      </c>
      <c r="C30" s="2" t="s">
        <v>8</v>
      </c>
      <c r="D30" s="12">
        <v>0.83333333333333337</v>
      </c>
      <c r="E30" s="12">
        <v>0.73333333333333328</v>
      </c>
      <c r="F30" s="12">
        <v>0.8</v>
      </c>
      <c r="G30" s="12">
        <v>0.73333333333333328</v>
      </c>
    </row>
    <row r="31" spans="1:7" x14ac:dyDescent="0.35">
      <c r="A31" s="2" t="s">
        <v>14</v>
      </c>
      <c r="B31" s="2" t="s">
        <v>13</v>
      </c>
      <c r="C31" s="2" t="s">
        <v>9</v>
      </c>
      <c r="D31" s="12">
        <v>0.92592592592592593</v>
      </c>
      <c r="E31" s="12">
        <v>0.85185185185185186</v>
      </c>
      <c r="F31" s="12">
        <v>0.85185185185185186</v>
      </c>
      <c r="G31" s="12">
        <v>0.85185185185185186</v>
      </c>
    </row>
    <row r="32" spans="1:7" x14ac:dyDescent="0.35">
      <c r="A32" s="2" t="s">
        <v>14</v>
      </c>
      <c r="B32" s="2" t="s">
        <v>13</v>
      </c>
      <c r="C32" s="2" t="s">
        <v>10</v>
      </c>
      <c r="D32" s="12">
        <v>0.93333333333333335</v>
      </c>
      <c r="E32" s="12">
        <v>0.96666666666666667</v>
      </c>
      <c r="F32" s="12">
        <v>0.8666666666666667</v>
      </c>
      <c r="G32" s="12">
        <v>0.96666666666666667</v>
      </c>
    </row>
    <row r="33" spans="1:7" x14ac:dyDescent="0.35">
      <c r="A33" s="2" t="s">
        <v>14</v>
      </c>
      <c r="B33" s="2" t="s">
        <v>13</v>
      </c>
      <c r="C33" s="2" t="s">
        <v>11</v>
      </c>
      <c r="D33" s="12">
        <v>0.93333333333333335</v>
      </c>
      <c r="E33" s="12">
        <v>1</v>
      </c>
      <c r="F33" s="12">
        <v>0.93333333333333335</v>
      </c>
      <c r="G33" s="12">
        <v>1</v>
      </c>
    </row>
    <row r="34" spans="1:7" x14ac:dyDescent="0.35">
      <c r="A34" s="2" t="s">
        <v>14</v>
      </c>
      <c r="B34" s="2" t="s">
        <v>13</v>
      </c>
      <c r="C34" s="2" t="s">
        <v>12</v>
      </c>
      <c r="D34" s="12">
        <v>0.66666666666666663</v>
      </c>
      <c r="E34" s="12">
        <v>0.66666666666666663</v>
      </c>
      <c r="F34" s="12">
        <v>0.8</v>
      </c>
      <c r="G34" s="12">
        <v>0.8</v>
      </c>
    </row>
    <row r="35" spans="1:7" x14ac:dyDescent="0.35">
      <c r="A35" s="2" t="s">
        <v>15</v>
      </c>
      <c r="B35" s="2" t="s">
        <v>4</v>
      </c>
      <c r="C35" s="2" t="s">
        <v>5</v>
      </c>
      <c r="D35" s="12">
        <v>0.93333333333333335</v>
      </c>
      <c r="E35" s="12">
        <v>0.8</v>
      </c>
      <c r="F35" s="12">
        <v>1</v>
      </c>
      <c r="G35" s="12">
        <v>0.8666666666666667</v>
      </c>
    </row>
    <row r="36" spans="1:7" x14ac:dyDescent="0.35">
      <c r="A36" s="2" t="s">
        <v>15</v>
      </c>
      <c r="B36" s="2" t="s">
        <v>4</v>
      </c>
      <c r="C36" s="2" t="s">
        <v>6</v>
      </c>
      <c r="D36" s="12">
        <v>0.8666666666666667</v>
      </c>
      <c r="E36" s="12">
        <v>0.8</v>
      </c>
      <c r="F36" s="12">
        <v>0.73333333333333328</v>
      </c>
      <c r="G36" s="12">
        <v>0.93333333333333335</v>
      </c>
    </row>
    <row r="37" spans="1:7" x14ac:dyDescent="0.35">
      <c r="A37" s="2" t="s">
        <v>15</v>
      </c>
      <c r="B37" s="2" t="s">
        <v>4</v>
      </c>
      <c r="C37" s="2" t="s">
        <v>7</v>
      </c>
      <c r="D37" s="12">
        <v>0.8</v>
      </c>
      <c r="E37" s="12">
        <v>0.8</v>
      </c>
      <c r="F37" s="12">
        <v>0.93333333333333335</v>
      </c>
      <c r="G37" s="12">
        <v>0.8666666666666667</v>
      </c>
    </row>
    <row r="38" spans="1:7" x14ac:dyDescent="0.35">
      <c r="A38" s="2" t="s">
        <v>15</v>
      </c>
      <c r="B38" s="2" t="s">
        <v>4</v>
      </c>
      <c r="C38" s="2" t="s">
        <v>8</v>
      </c>
      <c r="D38" s="12">
        <v>0.76666666666666672</v>
      </c>
      <c r="E38" s="12">
        <v>0.73333333333333328</v>
      </c>
      <c r="F38" s="12">
        <v>0.6</v>
      </c>
      <c r="G38" s="12">
        <v>0.6</v>
      </c>
    </row>
    <row r="39" spans="1:7" x14ac:dyDescent="0.35">
      <c r="A39" s="2" t="s">
        <v>15</v>
      </c>
      <c r="B39" s="2" t="s">
        <v>4</v>
      </c>
      <c r="C39" s="2" t="s">
        <v>9</v>
      </c>
      <c r="D39" s="12">
        <v>0.93333333333333335</v>
      </c>
      <c r="E39" s="12">
        <v>0.8666666666666667</v>
      </c>
      <c r="F39" s="12">
        <v>0.66666666666666663</v>
      </c>
      <c r="G39" s="12">
        <v>0.8666666666666667</v>
      </c>
    </row>
    <row r="40" spans="1:7" x14ac:dyDescent="0.35">
      <c r="A40" s="2" t="s">
        <v>15</v>
      </c>
      <c r="B40" s="2" t="s">
        <v>4</v>
      </c>
      <c r="C40" s="2" t="s">
        <v>10</v>
      </c>
      <c r="D40" s="12">
        <v>0.7</v>
      </c>
      <c r="E40" s="12">
        <v>0.5</v>
      </c>
      <c r="F40" s="12">
        <v>0.6</v>
      </c>
      <c r="G40" s="12">
        <v>0.6333333333333333</v>
      </c>
    </row>
    <row r="41" spans="1:7" x14ac:dyDescent="0.35">
      <c r="A41" s="2" t="s">
        <v>15</v>
      </c>
      <c r="B41" s="2" t="s">
        <v>4</v>
      </c>
      <c r="C41" s="2" t="s">
        <v>11</v>
      </c>
      <c r="D41" s="12">
        <v>0.93333333333333335</v>
      </c>
      <c r="E41" s="12">
        <v>0.96296296296296291</v>
      </c>
      <c r="F41" s="12">
        <v>1</v>
      </c>
      <c r="G41" s="12">
        <v>1</v>
      </c>
    </row>
    <row r="42" spans="1:7" x14ac:dyDescent="0.35">
      <c r="A42" s="2" t="s">
        <v>15</v>
      </c>
      <c r="B42" s="2" t="s">
        <v>4</v>
      </c>
      <c r="C42" s="2" t="s">
        <v>12</v>
      </c>
      <c r="D42" s="12">
        <v>0.66666666666666663</v>
      </c>
      <c r="E42" s="12">
        <v>0.6</v>
      </c>
      <c r="F42" s="12">
        <v>0.8</v>
      </c>
      <c r="G42" s="12">
        <v>0.8</v>
      </c>
    </row>
    <row r="43" spans="1:7" x14ac:dyDescent="0.35">
      <c r="A43" s="2" t="s">
        <v>15</v>
      </c>
      <c r="B43" s="2" t="s">
        <v>13</v>
      </c>
      <c r="C43" s="2" t="s">
        <v>5</v>
      </c>
      <c r="D43" s="12">
        <v>0.8</v>
      </c>
      <c r="E43" s="12">
        <v>1</v>
      </c>
      <c r="F43" s="12">
        <v>0.93333333333333335</v>
      </c>
      <c r="G43" s="12">
        <v>1</v>
      </c>
    </row>
    <row r="44" spans="1:7" x14ac:dyDescent="0.35">
      <c r="A44" s="2" t="s">
        <v>15</v>
      </c>
      <c r="B44" s="2" t="s">
        <v>13</v>
      </c>
      <c r="C44" s="2" t="s">
        <v>6</v>
      </c>
      <c r="D44" s="12">
        <v>0.76666666666666672</v>
      </c>
      <c r="E44" s="12">
        <v>0.93333333333333335</v>
      </c>
      <c r="F44" s="12">
        <v>0.93333333333333335</v>
      </c>
      <c r="G44" s="12">
        <v>0.83333333333333337</v>
      </c>
    </row>
    <row r="45" spans="1:7" x14ac:dyDescent="0.35">
      <c r="A45" s="2" t="s">
        <v>15</v>
      </c>
      <c r="B45" s="2" t="s">
        <v>13</v>
      </c>
      <c r="C45" s="2" t="s">
        <v>7</v>
      </c>
      <c r="D45" s="12">
        <v>0.73333333333333328</v>
      </c>
      <c r="E45" s="12">
        <v>0.8</v>
      </c>
      <c r="F45" s="12">
        <v>0.8666666666666667</v>
      </c>
      <c r="G45" s="12">
        <v>0.93333333333333335</v>
      </c>
    </row>
    <row r="46" spans="1:7" x14ac:dyDescent="0.35">
      <c r="A46" s="2" t="s">
        <v>15</v>
      </c>
      <c r="B46" s="2" t="s">
        <v>13</v>
      </c>
      <c r="C46" s="2" t="s">
        <v>8</v>
      </c>
      <c r="D46" s="12">
        <v>0.76666666666666672</v>
      </c>
      <c r="E46" s="12">
        <v>0.76666666666666672</v>
      </c>
      <c r="F46" s="12">
        <v>0.83333333333333337</v>
      </c>
      <c r="G46" s="12">
        <v>0.83333333333333337</v>
      </c>
    </row>
    <row r="47" spans="1:7" x14ac:dyDescent="0.35">
      <c r="A47" s="2" t="s">
        <v>15</v>
      </c>
      <c r="B47" s="2" t="s">
        <v>13</v>
      </c>
      <c r="C47" s="2" t="s">
        <v>9</v>
      </c>
      <c r="D47" s="12">
        <v>0.76666666666666672</v>
      </c>
      <c r="E47" s="12">
        <v>0.6</v>
      </c>
      <c r="F47" s="12">
        <v>0.8</v>
      </c>
      <c r="G47" s="12">
        <v>0.66666666666666663</v>
      </c>
    </row>
    <row r="48" spans="1:7" x14ac:dyDescent="0.35">
      <c r="A48" s="2" t="s">
        <v>15</v>
      </c>
      <c r="B48" s="2" t="s">
        <v>13</v>
      </c>
      <c r="C48" s="2" t="s">
        <v>10</v>
      </c>
      <c r="D48" s="12">
        <v>0.83333333333333337</v>
      </c>
      <c r="E48" s="12">
        <v>0.93333333333333335</v>
      </c>
      <c r="F48" s="12">
        <v>0.93333333333333335</v>
      </c>
      <c r="G48" s="12">
        <v>0.9</v>
      </c>
    </row>
    <row r="49" spans="1:7" x14ac:dyDescent="0.35">
      <c r="A49" s="2" t="s">
        <v>15</v>
      </c>
      <c r="B49" s="2" t="s">
        <v>13</v>
      </c>
      <c r="C49" s="2" t="s">
        <v>11</v>
      </c>
      <c r="D49" s="12">
        <v>0.93333333333333335</v>
      </c>
      <c r="E49" s="12">
        <v>1</v>
      </c>
      <c r="F49" s="12">
        <v>0.9</v>
      </c>
      <c r="G49" s="12">
        <v>0.96666666666666667</v>
      </c>
    </row>
    <row r="50" spans="1:7" x14ac:dyDescent="0.35">
      <c r="A50" s="2" t="s">
        <v>15</v>
      </c>
      <c r="B50" s="2" t="s">
        <v>13</v>
      </c>
      <c r="C50" s="2" t="s">
        <v>12</v>
      </c>
      <c r="D50" s="12">
        <v>0.8666666666666667</v>
      </c>
      <c r="E50" s="12">
        <v>0.66666666666666663</v>
      </c>
      <c r="F50" s="12">
        <v>0.66666666666666663</v>
      </c>
      <c r="G50" s="12">
        <v>0.8</v>
      </c>
    </row>
    <row r="51" spans="1:7" x14ac:dyDescent="0.35">
      <c r="A51" s="2" t="s">
        <v>16</v>
      </c>
      <c r="B51" s="2" t="s">
        <v>4</v>
      </c>
      <c r="C51" s="2" t="s">
        <v>5</v>
      </c>
      <c r="D51" s="12">
        <v>0.8666666666666667</v>
      </c>
      <c r="E51" s="12">
        <v>0.93333333333333335</v>
      </c>
      <c r="F51" s="12">
        <v>0.8</v>
      </c>
      <c r="G51" s="12">
        <v>0.8</v>
      </c>
    </row>
    <row r="52" spans="1:7" x14ac:dyDescent="0.35">
      <c r="A52" s="2" t="s">
        <v>16</v>
      </c>
      <c r="B52" s="2" t="s">
        <v>4</v>
      </c>
      <c r="C52" s="2" t="s">
        <v>6</v>
      </c>
      <c r="D52" s="12">
        <v>0.76666666666666672</v>
      </c>
      <c r="E52" s="12">
        <v>0.9</v>
      </c>
      <c r="F52" s="12">
        <v>0.8666666666666667</v>
      </c>
      <c r="G52" s="12">
        <v>0.7</v>
      </c>
    </row>
    <row r="53" spans="1:7" x14ac:dyDescent="0.35">
      <c r="A53" s="2" t="s">
        <v>16</v>
      </c>
      <c r="B53" s="2" t="s">
        <v>4</v>
      </c>
      <c r="C53" s="2" t="s">
        <v>7</v>
      </c>
      <c r="D53" s="12">
        <v>0.8666666666666667</v>
      </c>
      <c r="E53" s="12">
        <v>0.96666666666666667</v>
      </c>
      <c r="F53" s="12">
        <v>0.83333333333333337</v>
      </c>
      <c r="G53" s="12">
        <v>0.8666666666666667</v>
      </c>
    </row>
    <row r="54" spans="1:7" x14ac:dyDescent="0.35">
      <c r="A54" s="2" t="s">
        <v>16</v>
      </c>
      <c r="B54" s="2" t="s">
        <v>4</v>
      </c>
      <c r="C54" s="2" t="s">
        <v>8</v>
      </c>
      <c r="D54" s="12">
        <v>0.9</v>
      </c>
      <c r="E54" s="12">
        <v>1</v>
      </c>
      <c r="F54" s="12">
        <v>1</v>
      </c>
      <c r="G54" s="12">
        <v>0.83333333333333337</v>
      </c>
    </row>
    <row r="55" spans="1:7" x14ac:dyDescent="0.35">
      <c r="A55" s="2" t="s">
        <v>16</v>
      </c>
      <c r="B55" s="2" t="s">
        <v>4</v>
      </c>
      <c r="C55" s="2" t="s">
        <v>9</v>
      </c>
      <c r="D55" s="12">
        <v>0.93333333333333335</v>
      </c>
      <c r="E55" s="12">
        <v>0.8666666666666667</v>
      </c>
      <c r="F55" s="12">
        <v>1</v>
      </c>
      <c r="G55" s="12">
        <v>0.8</v>
      </c>
    </row>
    <row r="56" spans="1:7" x14ac:dyDescent="0.35">
      <c r="A56" s="2" t="s">
        <v>16</v>
      </c>
      <c r="B56" s="2" t="s">
        <v>4</v>
      </c>
      <c r="C56" s="2" t="s">
        <v>10</v>
      </c>
      <c r="D56" s="12">
        <v>0.93333333333333335</v>
      </c>
      <c r="E56" s="12">
        <v>0.9</v>
      </c>
      <c r="F56" s="12">
        <v>1</v>
      </c>
      <c r="G56" s="12">
        <v>0.8666666666666667</v>
      </c>
    </row>
    <row r="57" spans="1:7" x14ac:dyDescent="0.35">
      <c r="A57" s="2" t="s">
        <v>16</v>
      </c>
      <c r="B57" s="2" t="s">
        <v>4</v>
      </c>
      <c r="C57" s="2" t="s">
        <v>11</v>
      </c>
      <c r="D57" s="12">
        <v>0.9</v>
      </c>
      <c r="E57" s="12">
        <v>0.9</v>
      </c>
      <c r="F57" s="12">
        <v>0.9</v>
      </c>
      <c r="G57" s="12">
        <v>1</v>
      </c>
    </row>
    <row r="58" spans="1:7" x14ac:dyDescent="0.35">
      <c r="A58" s="2" t="s">
        <v>16</v>
      </c>
      <c r="B58" s="2" t="s">
        <v>4</v>
      </c>
      <c r="C58" s="2" t="s">
        <v>12</v>
      </c>
      <c r="D58" s="12">
        <v>0.73333333333333328</v>
      </c>
      <c r="E58" s="12">
        <v>0.7</v>
      </c>
      <c r="F58" s="12">
        <v>0.66666666666666663</v>
      </c>
      <c r="G58" s="12">
        <v>0.56666666666666665</v>
      </c>
    </row>
    <row r="59" spans="1:7" x14ac:dyDescent="0.35">
      <c r="A59" s="2" t="s">
        <v>16</v>
      </c>
      <c r="B59" s="2" t="s">
        <v>13</v>
      </c>
      <c r="C59" s="2" t="s">
        <v>5</v>
      </c>
      <c r="D59" s="12">
        <v>0.66666666666666663</v>
      </c>
      <c r="E59" s="12">
        <v>0.93333333333333335</v>
      </c>
      <c r="F59" s="12">
        <v>0.66666666666666663</v>
      </c>
      <c r="G59" s="12">
        <v>1</v>
      </c>
    </row>
    <row r="60" spans="1:7" x14ac:dyDescent="0.35">
      <c r="A60" s="2" t="s">
        <v>16</v>
      </c>
      <c r="B60" s="2" t="s">
        <v>13</v>
      </c>
      <c r="C60" s="2" t="s">
        <v>6</v>
      </c>
      <c r="D60" s="12">
        <v>0.66666666666666663</v>
      </c>
      <c r="E60" s="12">
        <v>0.8666666666666667</v>
      </c>
      <c r="F60" s="12">
        <v>0.8</v>
      </c>
      <c r="G60" s="12">
        <v>0.76666666666666672</v>
      </c>
    </row>
    <row r="61" spans="1:7" x14ac:dyDescent="0.35">
      <c r="A61" s="2" t="s">
        <v>16</v>
      </c>
      <c r="B61" s="2" t="s">
        <v>13</v>
      </c>
      <c r="C61" s="2" t="s">
        <v>7</v>
      </c>
      <c r="D61" s="12">
        <v>0.8</v>
      </c>
      <c r="E61" s="12">
        <v>1</v>
      </c>
      <c r="F61" s="12">
        <v>0.93333333333333335</v>
      </c>
      <c r="G61" s="12">
        <v>0.8666666666666667</v>
      </c>
    </row>
    <row r="62" spans="1:7" x14ac:dyDescent="0.35">
      <c r="A62" s="2" t="s">
        <v>16</v>
      </c>
      <c r="B62" s="2" t="s">
        <v>13</v>
      </c>
      <c r="C62" s="2" t="s">
        <v>8</v>
      </c>
      <c r="D62" s="12">
        <v>0.8666666666666667</v>
      </c>
      <c r="E62" s="12">
        <v>0.8666666666666667</v>
      </c>
      <c r="F62" s="12">
        <v>0.8666666666666667</v>
      </c>
      <c r="G62" s="12">
        <v>0.93333333333333335</v>
      </c>
    </row>
    <row r="63" spans="1:7" x14ac:dyDescent="0.35">
      <c r="A63" s="2" t="s">
        <v>16</v>
      </c>
      <c r="B63" s="2" t="s">
        <v>13</v>
      </c>
      <c r="C63" s="2" t="s">
        <v>9</v>
      </c>
      <c r="D63" s="12">
        <v>1</v>
      </c>
      <c r="E63" s="12">
        <v>0.73333333333333328</v>
      </c>
      <c r="F63" s="12">
        <v>0.9</v>
      </c>
      <c r="G63" s="12">
        <v>0.93333333333333335</v>
      </c>
    </row>
    <row r="64" spans="1:7" x14ac:dyDescent="0.35">
      <c r="A64" s="2" t="s">
        <v>16</v>
      </c>
      <c r="B64" s="2" t="s">
        <v>13</v>
      </c>
      <c r="C64" s="2" t="s">
        <v>10</v>
      </c>
      <c r="D64" s="12">
        <v>0.93333333333333335</v>
      </c>
      <c r="E64" s="12">
        <v>1</v>
      </c>
      <c r="F64" s="12">
        <v>0.93333333333333335</v>
      </c>
      <c r="G64" s="12">
        <v>0.8666666666666667</v>
      </c>
    </row>
    <row r="65" spans="1:7" x14ac:dyDescent="0.35">
      <c r="A65" s="2" t="s">
        <v>16</v>
      </c>
      <c r="B65" s="2" t="s">
        <v>13</v>
      </c>
      <c r="C65" s="2" t="s">
        <v>11</v>
      </c>
      <c r="D65" s="12">
        <v>0.96666666666666667</v>
      </c>
      <c r="E65" s="12">
        <v>0.96666666666666667</v>
      </c>
      <c r="F65" s="12">
        <v>0.96666666666666667</v>
      </c>
      <c r="G65" s="12">
        <v>0.96666666666666667</v>
      </c>
    </row>
    <row r="66" spans="1:7" x14ac:dyDescent="0.35">
      <c r="A66" s="2" t="s">
        <v>16</v>
      </c>
      <c r="B66" s="2" t="s">
        <v>13</v>
      </c>
      <c r="C66" s="2" t="s">
        <v>12</v>
      </c>
      <c r="D66" s="12">
        <v>0.73333333333333328</v>
      </c>
      <c r="E66" s="12">
        <v>0.8</v>
      </c>
      <c r="F66" s="12">
        <v>0.66666666666666663</v>
      </c>
      <c r="G66" s="12">
        <v>0.8666666666666667</v>
      </c>
    </row>
    <row r="67" spans="1:7" x14ac:dyDescent="0.35">
      <c r="A67" s="2" t="s">
        <v>17</v>
      </c>
      <c r="B67" s="2" t="s">
        <v>4</v>
      </c>
      <c r="C67" s="2" t="s">
        <v>5</v>
      </c>
      <c r="D67" s="12">
        <v>0.76666666666666672</v>
      </c>
      <c r="E67" s="12">
        <v>0.73333333333333328</v>
      </c>
      <c r="F67" s="12">
        <v>0.7</v>
      </c>
      <c r="G67" s="12">
        <v>0.76666666666666672</v>
      </c>
    </row>
    <row r="68" spans="1:7" x14ac:dyDescent="0.35">
      <c r="A68" s="2" t="s">
        <v>17</v>
      </c>
      <c r="B68" s="2" t="s">
        <v>4</v>
      </c>
      <c r="C68" s="2" t="s">
        <v>6</v>
      </c>
      <c r="D68" s="12">
        <v>0.83333333333333337</v>
      </c>
      <c r="E68" s="12">
        <v>0.73333333333333328</v>
      </c>
      <c r="F68" s="12">
        <v>0.83333333333333337</v>
      </c>
      <c r="G68" s="12">
        <v>0.8666666666666667</v>
      </c>
    </row>
    <row r="69" spans="1:7" x14ac:dyDescent="0.35">
      <c r="A69" s="2" t="s">
        <v>17</v>
      </c>
      <c r="B69" s="2" t="s">
        <v>4</v>
      </c>
      <c r="C69" s="2" t="s">
        <v>7</v>
      </c>
      <c r="D69" s="12">
        <v>0.83333333333333337</v>
      </c>
      <c r="E69" s="12">
        <v>1</v>
      </c>
      <c r="F69" s="12">
        <v>0.73333333333333328</v>
      </c>
      <c r="G69" s="12">
        <v>0.93333333333333335</v>
      </c>
    </row>
    <row r="70" spans="1:7" x14ac:dyDescent="0.35">
      <c r="A70" s="2" t="s">
        <v>17</v>
      </c>
      <c r="B70" s="2" t="s">
        <v>4</v>
      </c>
      <c r="C70" s="2" t="s">
        <v>8</v>
      </c>
      <c r="D70" s="12">
        <v>0.73333333333333328</v>
      </c>
      <c r="E70" s="12">
        <v>0.73333333333333328</v>
      </c>
      <c r="F70" s="12">
        <v>0.8</v>
      </c>
      <c r="G70" s="12">
        <v>0.73333333333333328</v>
      </c>
    </row>
    <row r="71" spans="1:7" x14ac:dyDescent="0.35">
      <c r="A71" s="2" t="s">
        <v>17</v>
      </c>
      <c r="B71" s="2" t="s">
        <v>4</v>
      </c>
      <c r="C71" s="2" t="s">
        <v>9</v>
      </c>
      <c r="D71" s="12">
        <v>0.8666666666666667</v>
      </c>
      <c r="E71" s="12">
        <v>0.76666666666666672</v>
      </c>
      <c r="F71" s="12">
        <v>0.8666666666666667</v>
      </c>
      <c r="G71" s="12">
        <v>0.8666666666666667</v>
      </c>
    </row>
    <row r="72" spans="1:7" x14ac:dyDescent="0.35">
      <c r="A72" s="2" t="s">
        <v>17</v>
      </c>
      <c r="B72" s="2" t="s">
        <v>4</v>
      </c>
      <c r="C72" s="2" t="s">
        <v>10</v>
      </c>
      <c r="D72" s="12">
        <v>0.5</v>
      </c>
      <c r="E72" s="12">
        <v>0.53333333333333333</v>
      </c>
      <c r="F72" s="12">
        <v>0.6</v>
      </c>
      <c r="G72" s="12">
        <v>0.46666666666666667</v>
      </c>
    </row>
    <row r="73" spans="1:7" x14ac:dyDescent="0.35">
      <c r="A73" s="2" t="s">
        <v>17</v>
      </c>
      <c r="B73" s="2" t="s">
        <v>4</v>
      </c>
      <c r="C73" s="2" t="s">
        <v>11</v>
      </c>
      <c r="D73" s="12">
        <v>1</v>
      </c>
      <c r="E73" s="12">
        <v>0.96666666666666667</v>
      </c>
      <c r="F73" s="12">
        <v>0.96666666666666667</v>
      </c>
      <c r="G73" s="12">
        <v>0.93333333333333335</v>
      </c>
    </row>
    <row r="74" spans="1:7" x14ac:dyDescent="0.35">
      <c r="A74" s="2" t="s">
        <v>17</v>
      </c>
      <c r="B74" s="2" t="s">
        <v>4</v>
      </c>
      <c r="C74" s="2" t="s">
        <v>12</v>
      </c>
      <c r="D74" s="12">
        <v>0.53333333333333333</v>
      </c>
      <c r="E74" s="12">
        <v>0.6</v>
      </c>
      <c r="F74" s="12">
        <v>0.76666666666666672</v>
      </c>
      <c r="G74" s="12">
        <v>0.73333333333333328</v>
      </c>
    </row>
    <row r="75" spans="1:7" x14ac:dyDescent="0.35">
      <c r="A75" s="2" t="s">
        <v>17</v>
      </c>
      <c r="B75" s="2" t="s">
        <v>13</v>
      </c>
      <c r="C75" s="2" t="s">
        <v>5</v>
      </c>
      <c r="D75" s="12">
        <v>0.93333333333333335</v>
      </c>
      <c r="E75" s="12">
        <v>1</v>
      </c>
      <c r="F75" s="12">
        <v>0.93333333333333335</v>
      </c>
      <c r="G75" s="12">
        <v>1</v>
      </c>
    </row>
    <row r="76" spans="1:7" x14ac:dyDescent="0.35">
      <c r="A76" s="2" t="s">
        <v>17</v>
      </c>
      <c r="B76" s="2" t="s">
        <v>13</v>
      </c>
      <c r="C76" s="2" t="s">
        <v>6</v>
      </c>
      <c r="D76" s="12">
        <v>0.66666666666666663</v>
      </c>
      <c r="E76" s="12">
        <v>0.83333333333333337</v>
      </c>
      <c r="F76" s="12">
        <v>0.8</v>
      </c>
      <c r="G76" s="12">
        <v>0.76666666666666672</v>
      </c>
    </row>
    <row r="77" spans="1:7" x14ac:dyDescent="0.35">
      <c r="A77" s="2" t="s">
        <v>17</v>
      </c>
      <c r="B77" s="2" t="s">
        <v>13</v>
      </c>
      <c r="C77" s="2" t="s">
        <v>7</v>
      </c>
      <c r="D77" s="12">
        <v>0.8666666666666667</v>
      </c>
      <c r="E77" s="12">
        <v>0.93333333333333335</v>
      </c>
      <c r="F77" s="12">
        <v>0.8666666666666667</v>
      </c>
      <c r="G77" s="12">
        <v>1</v>
      </c>
    </row>
    <row r="78" spans="1:7" x14ac:dyDescent="0.35">
      <c r="A78" s="2" t="s">
        <v>17</v>
      </c>
      <c r="B78" s="2" t="s">
        <v>13</v>
      </c>
      <c r="C78" s="2" t="s">
        <v>8</v>
      </c>
      <c r="D78" s="12">
        <v>0.53333333333333333</v>
      </c>
      <c r="E78" s="12">
        <v>0.6333333333333333</v>
      </c>
      <c r="F78" s="12">
        <v>0.8</v>
      </c>
      <c r="G78" s="12">
        <v>0.66666666666666663</v>
      </c>
    </row>
    <row r="79" spans="1:7" x14ac:dyDescent="0.35">
      <c r="A79" s="2" t="s">
        <v>17</v>
      </c>
      <c r="B79" s="2" t="s">
        <v>13</v>
      </c>
      <c r="C79" s="2" t="s">
        <v>9</v>
      </c>
      <c r="D79" s="12">
        <v>0.6</v>
      </c>
      <c r="E79" s="12">
        <v>0.6333333333333333</v>
      </c>
      <c r="F79" s="12">
        <v>0.5</v>
      </c>
      <c r="G79" s="12">
        <v>0.73333333333333328</v>
      </c>
    </row>
    <row r="80" spans="1:7" x14ac:dyDescent="0.35">
      <c r="A80" s="2" t="s">
        <v>17</v>
      </c>
      <c r="B80" s="2" t="s">
        <v>13</v>
      </c>
      <c r="C80" s="2" t="s">
        <v>10</v>
      </c>
      <c r="D80" s="12">
        <v>0.8666666666666667</v>
      </c>
      <c r="E80" s="12">
        <v>0.93333333333333335</v>
      </c>
      <c r="F80" s="12">
        <v>0.8666666666666667</v>
      </c>
      <c r="G80" s="12">
        <v>1</v>
      </c>
    </row>
    <row r="81" spans="1:7" x14ac:dyDescent="0.35">
      <c r="A81" s="2" t="s">
        <v>17</v>
      </c>
      <c r="B81" s="2" t="s">
        <v>13</v>
      </c>
      <c r="C81" s="2" t="s">
        <v>11</v>
      </c>
      <c r="D81" s="12">
        <v>0.9</v>
      </c>
      <c r="E81" s="12">
        <v>1</v>
      </c>
      <c r="F81" s="12">
        <v>1</v>
      </c>
      <c r="G81" s="12">
        <v>0.96666666666666667</v>
      </c>
    </row>
    <row r="82" spans="1:7" x14ac:dyDescent="0.35">
      <c r="A82" s="2" t="s">
        <v>17</v>
      </c>
      <c r="B82" s="2" t="s">
        <v>13</v>
      </c>
      <c r="C82" s="2" t="s">
        <v>12</v>
      </c>
      <c r="D82" s="12">
        <v>0.66666666666666663</v>
      </c>
      <c r="E82" s="12">
        <v>0.66666666666666663</v>
      </c>
      <c r="F82" s="12">
        <v>0.53333333333333333</v>
      </c>
      <c r="G82" s="12">
        <v>0.8</v>
      </c>
    </row>
    <row r="83" spans="1:7" x14ac:dyDescent="0.35">
      <c r="A83" s="2" t="s">
        <v>18</v>
      </c>
      <c r="B83" s="2" t="s">
        <v>4</v>
      </c>
      <c r="C83" s="2" t="s">
        <v>5</v>
      </c>
      <c r="D83" s="12">
        <v>0.8</v>
      </c>
      <c r="E83" s="12">
        <v>0.93333333333333335</v>
      </c>
      <c r="F83" s="12">
        <v>0.53333333333333333</v>
      </c>
      <c r="G83" s="12">
        <v>1</v>
      </c>
    </row>
    <row r="84" spans="1:7" x14ac:dyDescent="0.35">
      <c r="A84" s="2" t="s">
        <v>18</v>
      </c>
      <c r="B84" s="2" t="s">
        <v>4</v>
      </c>
      <c r="C84" s="2" t="s">
        <v>6</v>
      </c>
      <c r="D84" s="12">
        <v>0.66666666666666663</v>
      </c>
      <c r="E84" s="12">
        <v>0.7</v>
      </c>
      <c r="F84" s="12">
        <v>0.76666666666666672</v>
      </c>
      <c r="G84" s="12">
        <v>0.53333333333333333</v>
      </c>
    </row>
    <row r="85" spans="1:7" x14ac:dyDescent="0.35">
      <c r="A85" s="2" t="s">
        <v>18</v>
      </c>
      <c r="B85" s="2" t="s">
        <v>4</v>
      </c>
      <c r="C85" s="2" t="s">
        <v>7</v>
      </c>
      <c r="D85" s="12">
        <v>1</v>
      </c>
      <c r="E85" s="12">
        <v>0.8666666666666667</v>
      </c>
      <c r="F85" s="12">
        <v>0.9</v>
      </c>
      <c r="G85" s="12">
        <v>0.8666666666666667</v>
      </c>
    </row>
    <row r="86" spans="1:7" x14ac:dyDescent="0.35">
      <c r="A86" s="2" t="s">
        <v>18</v>
      </c>
      <c r="B86" s="2" t="s">
        <v>4</v>
      </c>
      <c r="C86" s="2" t="s">
        <v>8</v>
      </c>
      <c r="D86" s="12">
        <v>0.8</v>
      </c>
      <c r="E86" s="12">
        <v>0.73333333333333328</v>
      </c>
      <c r="F86" s="12">
        <v>0.8</v>
      </c>
      <c r="G86" s="12">
        <v>0.93333333333333335</v>
      </c>
    </row>
    <row r="87" spans="1:7" x14ac:dyDescent="0.35">
      <c r="A87" s="2" t="s">
        <v>18</v>
      </c>
      <c r="B87" s="2" t="s">
        <v>4</v>
      </c>
      <c r="C87" s="2" t="s">
        <v>9</v>
      </c>
      <c r="D87" s="12">
        <v>0.66666666666666663</v>
      </c>
      <c r="E87" s="12">
        <v>0.8</v>
      </c>
      <c r="F87" s="12">
        <v>0.66666666666666663</v>
      </c>
      <c r="G87" s="12">
        <v>0.83333333333333337</v>
      </c>
    </row>
    <row r="88" spans="1:7" x14ac:dyDescent="0.35">
      <c r="A88" s="2" t="s">
        <v>18</v>
      </c>
      <c r="B88" s="2" t="s">
        <v>4</v>
      </c>
      <c r="C88" s="2" t="s">
        <v>10</v>
      </c>
      <c r="D88" s="12">
        <v>1</v>
      </c>
      <c r="E88" s="12">
        <v>0.33333333333333331</v>
      </c>
      <c r="F88" s="12">
        <v>1</v>
      </c>
      <c r="G88" s="12">
        <v>0.66666666666666663</v>
      </c>
    </row>
    <row r="89" spans="1:7" x14ac:dyDescent="0.35">
      <c r="A89" s="2" t="s">
        <v>18</v>
      </c>
      <c r="B89" s="2" t="s">
        <v>4</v>
      </c>
      <c r="C89" s="2" t="s">
        <v>11</v>
      </c>
      <c r="D89" s="12">
        <v>0.9</v>
      </c>
      <c r="E89" s="12">
        <v>0.93333333333333335</v>
      </c>
      <c r="F89" s="12">
        <v>0.93333333333333335</v>
      </c>
      <c r="G89" s="12">
        <v>1</v>
      </c>
    </row>
    <row r="90" spans="1:7" x14ac:dyDescent="0.35">
      <c r="A90" s="2" t="s">
        <v>18</v>
      </c>
      <c r="B90" s="2" t="s">
        <v>4</v>
      </c>
      <c r="C90" s="2" t="s">
        <v>12</v>
      </c>
      <c r="D90" s="12">
        <v>0.6</v>
      </c>
      <c r="E90" s="12">
        <v>0.76666666666666672</v>
      </c>
      <c r="F90" s="12">
        <v>0.66666666666666663</v>
      </c>
      <c r="G90" s="12">
        <v>0.6</v>
      </c>
    </row>
    <row r="91" spans="1:7" x14ac:dyDescent="0.35">
      <c r="A91" s="2" t="s">
        <v>18</v>
      </c>
      <c r="B91" s="2" t="s">
        <v>13</v>
      </c>
      <c r="C91" s="2" t="s">
        <v>5</v>
      </c>
      <c r="D91" s="12">
        <v>0.8666666666666667</v>
      </c>
      <c r="E91" s="12">
        <v>1</v>
      </c>
      <c r="F91" s="12">
        <v>0.93333333333333335</v>
      </c>
      <c r="G91" s="12">
        <v>1</v>
      </c>
    </row>
    <row r="92" spans="1:7" x14ac:dyDescent="0.35">
      <c r="A92" s="2" t="s">
        <v>18</v>
      </c>
      <c r="B92" s="2" t="s">
        <v>13</v>
      </c>
      <c r="C92" s="2" t="s">
        <v>6</v>
      </c>
      <c r="D92" s="12">
        <v>0.8</v>
      </c>
      <c r="E92" s="12">
        <v>0.73333333333333328</v>
      </c>
      <c r="F92" s="12">
        <v>0.8666666666666667</v>
      </c>
      <c r="G92" s="12">
        <v>0.76666666666666672</v>
      </c>
    </row>
    <row r="93" spans="1:7" x14ac:dyDescent="0.35">
      <c r="A93" s="2" t="s">
        <v>18</v>
      </c>
      <c r="B93" s="2" t="s">
        <v>13</v>
      </c>
      <c r="C93" s="2" t="s">
        <v>7</v>
      </c>
      <c r="D93" s="12">
        <v>0.73333333333333328</v>
      </c>
      <c r="E93" s="12">
        <v>0.83333333333333337</v>
      </c>
      <c r="F93" s="12">
        <v>0.76666666666666672</v>
      </c>
      <c r="G93" s="12">
        <v>0.8</v>
      </c>
    </row>
    <row r="94" spans="1:7" x14ac:dyDescent="0.35">
      <c r="A94" s="2" t="s">
        <v>18</v>
      </c>
      <c r="B94" s="2" t="s">
        <v>13</v>
      </c>
      <c r="C94" s="2" t="s">
        <v>8</v>
      </c>
      <c r="D94" s="12">
        <v>0.73333333333333328</v>
      </c>
      <c r="E94" s="12">
        <v>0.8666666666666667</v>
      </c>
      <c r="F94" s="12">
        <v>0.6</v>
      </c>
      <c r="G94" s="12">
        <v>0.6</v>
      </c>
    </row>
    <row r="95" spans="1:7" x14ac:dyDescent="0.35">
      <c r="A95" s="2" t="s">
        <v>18</v>
      </c>
      <c r="B95" s="2" t="s">
        <v>13</v>
      </c>
      <c r="C95" s="2" t="s">
        <v>9</v>
      </c>
      <c r="D95" s="12">
        <v>0.8666666666666667</v>
      </c>
      <c r="E95" s="12">
        <v>0.73333333333333328</v>
      </c>
      <c r="F95" s="12">
        <v>0.53333333333333333</v>
      </c>
      <c r="G95" s="12">
        <v>0.66666666666666663</v>
      </c>
    </row>
    <row r="96" spans="1:7" x14ac:dyDescent="0.35">
      <c r="A96" s="2" t="s">
        <v>18</v>
      </c>
      <c r="B96" s="2" t="s">
        <v>13</v>
      </c>
      <c r="C96" s="2" t="s">
        <v>10</v>
      </c>
      <c r="D96" s="12">
        <v>0.83333333333333337</v>
      </c>
      <c r="E96" s="12">
        <v>1</v>
      </c>
      <c r="F96" s="12">
        <v>0.91666666666666663</v>
      </c>
      <c r="G96" s="12">
        <v>1</v>
      </c>
    </row>
    <row r="97" spans="1:7" x14ac:dyDescent="0.35">
      <c r="A97" s="2" t="s">
        <v>18</v>
      </c>
      <c r="B97" s="2" t="s">
        <v>13</v>
      </c>
      <c r="C97" s="2" t="s">
        <v>11</v>
      </c>
      <c r="D97" s="12">
        <v>0.96666666666666667</v>
      </c>
      <c r="E97" s="12">
        <v>1</v>
      </c>
      <c r="F97" s="12">
        <v>1</v>
      </c>
      <c r="G97" s="12">
        <v>0.96666666666666667</v>
      </c>
    </row>
    <row r="98" spans="1:7" x14ac:dyDescent="0.35">
      <c r="A98" s="2" t="s">
        <v>18</v>
      </c>
      <c r="B98" s="2" t="s">
        <v>13</v>
      </c>
      <c r="C98" s="2" t="s">
        <v>12</v>
      </c>
      <c r="D98" s="12">
        <v>0.53333333333333333</v>
      </c>
      <c r="E98" s="12">
        <v>0.66666666666666663</v>
      </c>
      <c r="F98" s="12">
        <v>0.6</v>
      </c>
      <c r="G98" s="12">
        <v>0.6</v>
      </c>
    </row>
  </sheetData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98"/>
  <sheetViews>
    <sheetView topLeftCell="C1" workbookViewId="0">
      <selection activeCell="L1" sqref="L1:S1048576"/>
    </sheetView>
  </sheetViews>
  <sheetFormatPr defaultRowHeight="14.5" x14ac:dyDescent="0.35"/>
  <cols>
    <col min="1" max="1" width="18.7265625" bestFit="1" customWidth="1"/>
    <col min="2" max="2" width="15.54296875" bestFit="1" customWidth="1"/>
    <col min="3" max="3" width="8.26953125" bestFit="1" customWidth="1"/>
    <col min="4" max="7" width="12.7265625" customWidth="1"/>
  </cols>
  <sheetData>
    <row r="1" spans="1:10" x14ac:dyDescent="0.35">
      <c r="D1" s="4"/>
      <c r="E1" s="4"/>
      <c r="F1" s="4"/>
      <c r="G1" s="4"/>
    </row>
    <row r="2" spans="1:10" x14ac:dyDescent="0.35">
      <c r="A2" s="1" t="s">
        <v>2</v>
      </c>
      <c r="B2" s="1" t="s">
        <v>0</v>
      </c>
      <c r="C2" s="1" t="s">
        <v>1</v>
      </c>
      <c r="D2" s="4" t="s">
        <v>21</v>
      </c>
      <c r="E2" s="4" t="s">
        <v>19</v>
      </c>
      <c r="F2" s="4" t="s">
        <v>22</v>
      </c>
      <c r="G2" s="4" t="s">
        <v>20</v>
      </c>
      <c r="I2" s="14" t="s">
        <v>24</v>
      </c>
      <c r="J2" s="14" t="s">
        <v>25</v>
      </c>
    </row>
    <row r="3" spans="1:10" x14ac:dyDescent="0.35">
      <c r="A3" s="2" t="s">
        <v>5</v>
      </c>
      <c r="B3" s="2" t="s">
        <v>3</v>
      </c>
      <c r="C3" s="2" t="s">
        <v>4</v>
      </c>
      <c r="D3" s="3">
        <v>0.73333333333333328</v>
      </c>
      <c r="E3" s="3">
        <v>0.93333333333333335</v>
      </c>
      <c r="F3" s="3">
        <v>0.8666666666666667</v>
      </c>
      <c r="G3" s="3">
        <v>0.93333333333333335</v>
      </c>
      <c r="I3" s="2">
        <f>_xlfn.STDEV.P(D3:G3)</f>
        <v>8.1649658092772623E-2</v>
      </c>
      <c r="J3" s="2">
        <f>AVERAGE(I3:I14)</f>
        <v>7.6249786992459642E-2</v>
      </c>
    </row>
    <row r="4" spans="1:10" x14ac:dyDescent="0.35">
      <c r="A4" s="2" t="s">
        <v>5</v>
      </c>
      <c r="B4" s="2" t="s">
        <v>3</v>
      </c>
      <c r="C4" s="2" t="s">
        <v>13</v>
      </c>
      <c r="D4" s="3">
        <v>1</v>
      </c>
      <c r="E4" s="3">
        <v>0.93333333333333335</v>
      </c>
      <c r="F4" s="3">
        <v>0.8666666666666667</v>
      </c>
      <c r="G4" s="3">
        <v>0.93333333333333335</v>
      </c>
      <c r="I4" s="2">
        <f t="shared" ref="I4:I14" si="0">_xlfn.STDEV.P(D4:G4)</f>
        <v>4.7140452079103161E-2</v>
      </c>
      <c r="J4" s="2"/>
    </row>
    <row r="5" spans="1:10" x14ac:dyDescent="0.35">
      <c r="A5" s="2" t="s">
        <v>5</v>
      </c>
      <c r="B5" s="2" t="s">
        <v>14</v>
      </c>
      <c r="C5" s="2" t="s">
        <v>4</v>
      </c>
      <c r="D5" s="3">
        <v>1</v>
      </c>
      <c r="E5" s="3">
        <v>0.8666666666666667</v>
      </c>
      <c r="F5" s="3">
        <v>0.93333333333333335</v>
      </c>
      <c r="G5" s="3">
        <v>0.8666666666666667</v>
      </c>
      <c r="I5" s="2">
        <f t="shared" si="0"/>
        <v>5.5277079839256657E-2</v>
      </c>
      <c r="J5" s="2"/>
    </row>
    <row r="6" spans="1:10" x14ac:dyDescent="0.35">
      <c r="A6" s="2" t="s">
        <v>5</v>
      </c>
      <c r="B6" s="2" t="s">
        <v>14</v>
      </c>
      <c r="C6" s="2" t="s">
        <v>13</v>
      </c>
      <c r="D6" s="3">
        <v>0.8</v>
      </c>
      <c r="E6" s="3">
        <v>1</v>
      </c>
      <c r="F6" s="3">
        <v>0.93333333333333335</v>
      </c>
      <c r="G6" s="3">
        <v>0.93333333333333335</v>
      </c>
      <c r="I6" s="2">
        <f t="shared" si="0"/>
        <v>7.264831572567787E-2</v>
      </c>
      <c r="J6" s="2"/>
    </row>
    <row r="7" spans="1:10" x14ac:dyDescent="0.35">
      <c r="A7" s="2" t="s">
        <v>5</v>
      </c>
      <c r="B7" s="2" t="s">
        <v>15</v>
      </c>
      <c r="C7" s="2" t="s">
        <v>4</v>
      </c>
      <c r="D7" s="3">
        <v>0.93333333333333335</v>
      </c>
      <c r="E7" s="3">
        <v>0.8</v>
      </c>
      <c r="F7" s="3">
        <v>1</v>
      </c>
      <c r="G7" s="3">
        <v>0.8666666666666667</v>
      </c>
      <c r="I7" s="2">
        <f t="shared" si="0"/>
        <v>7.4535599249992979E-2</v>
      </c>
      <c r="J7" s="2"/>
    </row>
    <row r="8" spans="1:10" x14ac:dyDescent="0.35">
      <c r="A8" s="2" t="s">
        <v>5</v>
      </c>
      <c r="B8" s="2" t="s">
        <v>15</v>
      </c>
      <c r="C8" s="2" t="s">
        <v>13</v>
      </c>
      <c r="D8" s="3">
        <v>0.8</v>
      </c>
      <c r="E8" s="3">
        <v>1</v>
      </c>
      <c r="F8" s="3">
        <v>0.93333333333333335</v>
      </c>
      <c r="G8" s="3">
        <v>1</v>
      </c>
      <c r="I8" s="2">
        <f t="shared" si="0"/>
        <v>8.1649658092772581E-2</v>
      </c>
      <c r="J8" s="2"/>
    </row>
    <row r="9" spans="1:10" x14ac:dyDescent="0.35">
      <c r="A9" s="2" t="s">
        <v>5</v>
      </c>
      <c r="B9" s="2" t="s">
        <v>16</v>
      </c>
      <c r="C9" s="2" t="s">
        <v>4</v>
      </c>
      <c r="D9" s="3">
        <v>0.8666666666666667</v>
      </c>
      <c r="E9" s="3">
        <v>0.93333333333333335</v>
      </c>
      <c r="F9" s="3">
        <v>0.8</v>
      </c>
      <c r="G9" s="3">
        <v>0.8</v>
      </c>
      <c r="I9" s="2">
        <f t="shared" si="0"/>
        <v>5.527707983925665E-2</v>
      </c>
      <c r="J9" s="2"/>
    </row>
    <row r="10" spans="1:10" x14ac:dyDescent="0.35">
      <c r="A10" s="2" t="s">
        <v>5</v>
      </c>
      <c r="B10" s="2" t="s">
        <v>16</v>
      </c>
      <c r="C10" s="2" t="s">
        <v>13</v>
      </c>
      <c r="D10" s="3">
        <v>0.66666666666666663</v>
      </c>
      <c r="E10" s="3">
        <v>0.93333333333333335</v>
      </c>
      <c r="F10" s="3">
        <v>0.66666666666666663</v>
      </c>
      <c r="G10" s="3">
        <v>1</v>
      </c>
      <c r="H10" s="6"/>
      <c r="I10" s="2">
        <f t="shared" si="0"/>
        <v>0.15184055965240478</v>
      </c>
      <c r="J10" s="2"/>
    </row>
    <row r="11" spans="1:10" x14ac:dyDescent="0.35">
      <c r="A11" s="2" t="s">
        <v>5</v>
      </c>
      <c r="B11" s="2" t="s">
        <v>17</v>
      </c>
      <c r="C11" s="2" t="s">
        <v>4</v>
      </c>
      <c r="D11" s="3">
        <v>0.76666666666666672</v>
      </c>
      <c r="E11" s="3">
        <v>0.73333333333333328</v>
      </c>
      <c r="F11" s="3">
        <v>0.7</v>
      </c>
      <c r="G11" s="3">
        <v>0.76666666666666672</v>
      </c>
      <c r="I11" s="2">
        <f t="shared" si="0"/>
        <v>2.7638539919628377E-2</v>
      </c>
      <c r="J11" s="2"/>
    </row>
    <row r="12" spans="1:10" x14ac:dyDescent="0.35">
      <c r="A12" s="2" t="s">
        <v>5</v>
      </c>
      <c r="B12" s="2" t="s">
        <v>17</v>
      </c>
      <c r="C12" s="2" t="s">
        <v>13</v>
      </c>
      <c r="D12" s="3">
        <v>0.93333333333333335</v>
      </c>
      <c r="E12" s="3">
        <v>1</v>
      </c>
      <c r="F12" s="3">
        <v>0.93333333333333335</v>
      </c>
      <c r="G12" s="3">
        <v>1</v>
      </c>
      <c r="I12" s="2">
        <f t="shared" si="0"/>
        <v>3.3333333333333326E-2</v>
      </c>
      <c r="J12" s="2"/>
    </row>
    <row r="13" spans="1:10" x14ac:dyDescent="0.35">
      <c r="A13" s="2" t="s">
        <v>5</v>
      </c>
      <c r="B13" s="2" t="s">
        <v>18</v>
      </c>
      <c r="C13" s="2" t="s">
        <v>4</v>
      </c>
      <c r="D13" s="3">
        <v>0.8</v>
      </c>
      <c r="E13" s="3">
        <v>0.93333333333333335</v>
      </c>
      <c r="F13" s="3">
        <v>0.53333333333333333</v>
      </c>
      <c r="G13" s="3">
        <v>1</v>
      </c>
      <c r="I13" s="2">
        <f t="shared" si="0"/>
        <v>0.17873008824606013</v>
      </c>
      <c r="J13" s="2"/>
    </row>
    <row r="14" spans="1:10" x14ac:dyDescent="0.35">
      <c r="A14" s="2" t="s">
        <v>5</v>
      </c>
      <c r="B14" s="2" t="s">
        <v>18</v>
      </c>
      <c r="C14" s="2" t="s">
        <v>13</v>
      </c>
      <c r="D14" s="3">
        <v>0.8666666666666667</v>
      </c>
      <c r="E14" s="3">
        <v>1</v>
      </c>
      <c r="F14" s="3">
        <v>0.93333333333333335</v>
      </c>
      <c r="G14" s="3">
        <v>1</v>
      </c>
      <c r="I14" s="2">
        <f t="shared" si="0"/>
        <v>5.527707983925665E-2</v>
      </c>
      <c r="J14" s="2"/>
    </row>
    <row r="15" spans="1:10" x14ac:dyDescent="0.35">
      <c r="A15" s="2" t="s">
        <v>6</v>
      </c>
      <c r="B15" s="2" t="s">
        <v>3</v>
      </c>
      <c r="C15" s="2" t="s">
        <v>4</v>
      </c>
      <c r="D15" s="3">
        <v>0.66666666666666663</v>
      </c>
      <c r="E15" s="3">
        <v>0.53333333333333333</v>
      </c>
      <c r="F15" s="3">
        <v>0.8</v>
      </c>
      <c r="G15" s="3">
        <v>0.6333333333333333</v>
      </c>
      <c r="I15" s="2">
        <f>_xlfn.STDEV.P(D15:G15)</f>
        <v>9.5379359518830156E-2</v>
      </c>
      <c r="J15" s="2">
        <f>AVERAGE(I15:I26)</f>
        <v>6.7675469892956031E-2</v>
      </c>
    </row>
    <row r="16" spans="1:10" x14ac:dyDescent="0.35">
      <c r="A16" s="2" t="s">
        <v>6</v>
      </c>
      <c r="B16" s="2" t="s">
        <v>3</v>
      </c>
      <c r="C16" s="2" t="s">
        <v>13</v>
      </c>
      <c r="D16" s="3">
        <v>0.53333333333333333</v>
      </c>
      <c r="E16" s="3">
        <v>0.53333333333333333</v>
      </c>
      <c r="F16" s="3">
        <v>0.66666666666666663</v>
      </c>
      <c r="G16" s="3">
        <v>0.73333333333333328</v>
      </c>
      <c r="I16" s="2">
        <f t="shared" ref="I16:I26" si="1">_xlfn.STDEV.P(D16:G16)</f>
        <v>8.6602540378443268E-2</v>
      </c>
      <c r="J16" s="2"/>
    </row>
    <row r="17" spans="1:10" x14ac:dyDescent="0.35">
      <c r="A17" s="2" t="s">
        <v>6</v>
      </c>
      <c r="B17" s="2" t="s">
        <v>14</v>
      </c>
      <c r="C17" s="2" t="s">
        <v>4</v>
      </c>
      <c r="D17" s="3">
        <v>0.7</v>
      </c>
      <c r="E17" s="3">
        <v>0.76666666666666672</v>
      </c>
      <c r="F17" s="3">
        <v>0.73333333333333328</v>
      </c>
      <c r="G17" s="3">
        <v>0.8</v>
      </c>
      <c r="I17" s="2">
        <f t="shared" si="1"/>
        <v>3.7267799624996538E-2</v>
      </c>
      <c r="J17" s="2"/>
    </row>
    <row r="18" spans="1:10" x14ac:dyDescent="0.35">
      <c r="A18" s="2" t="s">
        <v>6</v>
      </c>
      <c r="B18" s="2" t="s">
        <v>14</v>
      </c>
      <c r="C18" s="2" t="s">
        <v>13</v>
      </c>
      <c r="D18" s="3">
        <v>0.9</v>
      </c>
      <c r="E18" s="3">
        <v>0.8</v>
      </c>
      <c r="F18" s="3">
        <v>0.93333333333333335</v>
      </c>
      <c r="G18" s="3">
        <v>0.8666666666666667</v>
      </c>
      <c r="I18" s="2">
        <f t="shared" si="1"/>
        <v>4.9300664859163457E-2</v>
      </c>
      <c r="J18" s="2"/>
    </row>
    <row r="19" spans="1:10" x14ac:dyDescent="0.35">
      <c r="A19" s="2" t="s">
        <v>6</v>
      </c>
      <c r="B19" s="2" t="s">
        <v>15</v>
      </c>
      <c r="C19" s="2" t="s">
        <v>4</v>
      </c>
      <c r="D19" s="3">
        <v>0.8666666666666667</v>
      </c>
      <c r="E19" s="3">
        <v>0.8</v>
      </c>
      <c r="F19" s="3">
        <v>0.73333333333333328</v>
      </c>
      <c r="G19" s="3">
        <v>0.93333333333333335</v>
      </c>
      <c r="I19" s="2">
        <f t="shared" si="1"/>
        <v>7.4535599249993006E-2</v>
      </c>
      <c r="J19" s="2"/>
    </row>
    <row r="20" spans="1:10" x14ac:dyDescent="0.35">
      <c r="A20" s="2" t="s">
        <v>6</v>
      </c>
      <c r="B20" s="2" t="s">
        <v>15</v>
      </c>
      <c r="C20" s="2" t="s">
        <v>13</v>
      </c>
      <c r="D20" s="3">
        <v>0.76666666666666672</v>
      </c>
      <c r="E20" s="3">
        <v>0.93333333333333335</v>
      </c>
      <c r="F20" s="3">
        <v>0.93333333333333335</v>
      </c>
      <c r="G20" s="3">
        <v>0.83333333333333337</v>
      </c>
      <c r="I20" s="2">
        <f t="shared" si="1"/>
        <v>7.0710678118654738E-2</v>
      </c>
      <c r="J20" s="2"/>
    </row>
    <row r="21" spans="1:10" x14ac:dyDescent="0.35">
      <c r="A21" s="2" t="s">
        <v>6</v>
      </c>
      <c r="B21" s="2" t="s">
        <v>16</v>
      </c>
      <c r="C21" s="2" t="s">
        <v>4</v>
      </c>
      <c r="D21" s="3">
        <v>0.76666666666666672</v>
      </c>
      <c r="E21" s="3">
        <v>0.9</v>
      </c>
      <c r="F21" s="3">
        <v>0.8666666666666667</v>
      </c>
      <c r="G21" s="3">
        <v>0.7</v>
      </c>
      <c r="I21" s="2">
        <f t="shared" si="1"/>
        <v>7.9494933451412161E-2</v>
      </c>
      <c r="J21" s="2"/>
    </row>
    <row r="22" spans="1:10" x14ac:dyDescent="0.35">
      <c r="A22" s="2" t="s">
        <v>6</v>
      </c>
      <c r="B22" s="2" t="s">
        <v>16</v>
      </c>
      <c r="C22" s="2" t="s">
        <v>13</v>
      </c>
      <c r="D22" s="3">
        <v>0.66666666666666663</v>
      </c>
      <c r="E22" s="3">
        <v>0.8666666666666667</v>
      </c>
      <c r="F22" s="3">
        <v>0.8</v>
      </c>
      <c r="G22" s="3">
        <v>0.76666666666666672</v>
      </c>
      <c r="I22" s="2">
        <f t="shared" si="1"/>
        <v>7.2168783648703244E-2</v>
      </c>
      <c r="J22" s="2"/>
    </row>
    <row r="23" spans="1:10" x14ac:dyDescent="0.35">
      <c r="A23" s="2" t="s">
        <v>6</v>
      </c>
      <c r="B23" s="2" t="s">
        <v>17</v>
      </c>
      <c r="C23" s="2" t="s">
        <v>4</v>
      </c>
      <c r="D23" s="3">
        <v>0.83333333333333337</v>
      </c>
      <c r="E23" s="3">
        <v>0.73333333333333328</v>
      </c>
      <c r="F23" s="3">
        <v>0.83333333333333337</v>
      </c>
      <c r="G23" s="3">
        <v>0.8666666666666667</v>
      </c>
      <c r="I23" s="2">
        <f t="shared" si="1"/>
        <v>5.0000000000000037E-2</v>
      </c>
      <c r="J23" s="2"/>
    </row>
    <row r="24" spans="1:10" x14ac:dyDescent="0.35">
      <c r="A24" s="2" t="s">
        <v>6</v>
      </c>
      <c r="B24" s="2" t="s">
        <v>17</v>
      </c>
      <c r="C24" s="2" t="s">
        <v>13</v>
      </c>
      <c r="D24" s="3">
        <v>0.66666666666666663</v>
      </c>
      <c r="E24" s="3">
        <v>0.83333333333333337</v>
      </c>
      <c r="F24" s="3">
        <v>0.8</v>
      </c>
      <c r="G24" s="3">
        <v>0.76666666666666672</v>
      </c>
      <c r="I24" s="2">
        <f t="shared" si="1"/>
        <v>6.2360956446232386E-2</v>
      </c>
      <c r="J24" s="2"/>
    </row>
    <row r="25" spans="1:10" x14ac:dyDescent="0.35">
      <c r="A25" s="2" t="s">
        <v>6</v>
      </c>
      <c r="B25" s="2" t="s">
        <v>18</v>
      </c>
      <c r="C25" s="2" t="s">
        <v>4</v>
      </c>
      <c r="D25" s="3">
        <v>0.66666666666666663</v>
      </c>
      <c r="E25" s="3">
        <v>0.7</v>
      </c>
      <c r="F25" s="3">
        <v>0.76666666666666672</v>
      </c>
      <c r="G25" s="3">
        <v>0.53333333333333333</v>
      </c>
      <c r="I25" s="2">
        <f t="shared" si="1"/>
        <v>8.4983658559879854E-2</v>
      </c>
      <c r="J25" s="2"/>
    </row>
    <row r="26" spans="1:10" x14ac:dyDescent="0.35">
      <c r="A26" s="2" t="s">
        <v>6</v>
      </c>
      <c r="B26" s="2" t="s">
        <v>18</v>
      </c>
      <c r="C26" s="2" t="s">
        <v>13</v>
      </c>
      <c r="D26" s="3">
        <v>0.8</v>
      </c>
      <c r="E26" s="3">
        <v>0.73333333333333328</v>
      </c>
      <c r="F26" s="3">
        <v>0.8666666666666667</v>
      </c>
      <c r="G26" s="3">
        <v>0.76666666666666672</v>
      </c>
      <c r="I26" s="2">
        <f t="shared" si="1"/>
        <v>4.9300664859163491E-2</v>
      </c>
      <c r="J26" s="2"/>
    </row>
    <row r="27" spans="1:10" x14ac:dyDescent="0.35">
      <c r="A27" s="2" t="s">
        <v>7</v>
      </c>
      <c r="B27" s="2" t="s">
        <v>3</v>
      </c>
      <c r="C27" s="2" t="s">
        <v>4</v>
      </c>
      <c r="D27" s="3">
        <v>0.73333333333333328</v>
      </c>
      <c r="E27" s="3">
        <v>0.73333333333333328</v>
      </c>
      <c r="F27" s="3">
        <v>0.9</v>
      </c>
      <c r="G27" s="3">
        <v>1</v>
      </c>
      <c r="I27" s="2">
        <f>_xlfn.STDEV.P(D27:G27)</f>
        <v>0.11395661942647752</v>
      </c>
      <c r="J27" s="2">
        <f>AVERAGE(I27:I38)</f>
        <v>6.4225628269269766E-2</v>
      </c>
    </row>
    <row r="28" spans="1:10" x14ac:dyDescent="0.35">
      <c r="A28" s="2" t="s">
        <v>7</v>
      </c>
      <c r="B28" s="2" t="s">
        <v>3</v>
      </c>
      <c r="C28" s="2" t="s">
        <v>13</v>
      </c>
      <c r="D28" s="3">
        <v>0.8</v>
      </c>
      <c r="E28" s="3">
        <v>0.8</v>
      </c>
      <c r="F28" s="3">
        <v>0.8</v>
      </c>
      <c r="G28" s="3">
        <v>0.93333333333333335</v>
      </c>
      <c r="I28" s="2">
        <f t="shared" ref="I28:I38" si="2">_xlfn.STDEV.P(D28:G28)</f>
        <v>5.7735026918962568E-2</v>
      </c>
      <c r="J28" s="2"/>
    </row>
    <row r="29" spans="1:10" x14ac:dyDescent="0.35">
      <c r="A29" s="2" t="s">
        <v>7</v>
      </c>
      <c r="B29" s="2" t="s">
        <v>14</v>
      </c>
      <c r="C29" s="2" t="s">
        <v>4</v>
      </c>
      <c r="D29" s="3">
        <v>1</v>
      </c>
      <c r="E29" s="3">
        <v>0.93333333333333335</v>
      </c>
      <c r="F29" s="3">
        <v>0.93333333333333335</v>
      </c>
      <c r="G29" s="3">
        <v>0.8666666666666667</v>
      </c>
      <c r="I29" s="2">
        <f t="shared" si="2"/>
        <v>4.7140452079103161E-2</v>
      </c>
      <c r="J29" s="2"/>
    </row>
    <row r="30" spans="1:10" x14ac:dyDescent="0.35">
      <c r="A30" s="2" t="s">
        <v>7</v>
      </c>
      <c r="B30" s="2" t="s">
        <v>14</v>
      </c>
      <c r="C30" s="2" t="s">
        <v>13</v>
      </c>
      <c r="D30" s="3">
        <v>0.8666666666666667</v>
      </c>
      <c r="E30" s="3">
        <v>0.93333333333333335</v>
      </c>
      <c r="F30" s="3">
        <v>0.9</v>
      </c>
      <c r="G30" s="3">
        <v>1</v>
      </c>
      <c r="I30" s="2">
        <f t="shared" si="2"/>
        <v>4.9300664859163457E-2</v>
      </c>
      <c r="J30" s="2"/>
    </row>
    <row r="31" spans="1:10" x14ac:dyDescent="0.35">
      <c r="A31" s="2" t="s">
        <v>7</v>
      </c>
      <c r="B31" s="2" t="s">
        <v>15</v>
      </c>
      <c r="C31" s="2" t="s">
        <v>4</v>
      </c>
      <c r="D31" s="3">
        <v>0.8</v>
      </c>
      <c r="E31" s="3">
        <v>0.8</v>
      </c>
      <c r="F31" s="3">
        <v>0.93333333333333335</v>
      </c>
      <c r="G31" s="3">
        <v>0.8666666666666667</v>
      </c>
      <c r="I31" s="2">
        <f t="shared" si="2"/>
        <v>5.5277079839256657E-2</v>
      </c>
      <c r="J31" s="2"/>
    </row>
    <row r="32" spans="1:10" x14ac:dyDescent="0.35">
      <c r="A32" s="2" t="s">
        <v>7</v>
      </c>
      <c r="B32" s="2" t="s">
        <v>15</v>
      </c>
      <c r="C32" s="2" t="s">
        <v>13</v>
      </c>
      <c r="D32" s="3">
        <v>0.73333333333333328</v>
      </c>
      <c r="E32" s="3">
        <v>0.8</v>
      </c>
      <c r="F32" s="3">
        <v>0.8666666666666667</v>
      </c>
      <c r="G32" s="3">
        <v>0.93333333333333335</v>
      </c>
      <c r="I32" s="2">
        <f t="shared" si="2"/>
        <v>7.4535599249993006E-2</v>
      </c>
      <c r="J32" s="2"/>
    </row>
    <row r="33" spans="1:10" x14ac:dyDescent="0.35">
      <c r="A33" s="2" t="s">
        <v>7</v>
      </c>
      <c r="B33" s="2" t="s">
        <v>16</v>
      </c>
      <c r="C33" s="2" t="s">
        <v>4</v>
      </c>
      <c r="D33" s="3">
        <v>0.8666666666666667</v>
      </c>
      <c r="E33" s="3">
        <v>0.96666666666666667</v>
      </c>
      <c r="F33" s="3">
        <v>0.83333333333333337</v>
      </c>
      <c r="G33" s="3">
        <v>0.8666666666666667</v>
      </c>
      <c r="I33" s="2">
        <f t="shared" si="2"/>
        <v>4.9999999999999989E-2</v>
      </c>
      <c r="J33" s="2"/>
    </row>
    <row r="34" spans="1:10" x14ac:dyDescent="0.35">
      <c r="A34" s="2" t="s">
        <v>7</v>
      </c>
      <c r="B34" s="2" t="s">
        <v>16</v>
      </c>
      <c r="C34" s="2" t="s">
        <v>13</v>
      </c>
      <c r="D34" s="3">
        <v>0.8</v>
      </c>
      <c r="E34" s="3">
        <v>1</v>
      </c>
      <c r="F34" s="3">
        <v>0.93333333333333335</v>
      </c>
      <c r="G34" s="3">
        <v>0.8666666666666667</v>
      </c>
      <c r="I34" s="2">
        <f t="shared" si="2"/>
        <v>7.4535599249992979E-2</v>
      </c>
      <c r="J34" s="2"/>
    </row>
    <row r="35" spans="1:10" x14ac:dyDescent="0.35">
      <c r="A35" s="2" t="s">
        <v>7</v>
      </c>
      <c r="B35" s="2" t="s">
        <v>17</v>
      </c>
      <c r="C35" s="2" t="s">
        <v>4</v>
      </c>
      <c r="D35" s="3">
        <v>0.83333333333333337</v>
      </c>
      <c r="E35" s="3">
        <v>1</v>
      </c>
      <c r="F35" s="3">
        <v>0.73333333333333328</v>
      </c>
      <c r="G35" s="3">
        <v>0.93333333333333335</v>
      </c>
      <c r="I35" s="2">
        <f t="shared" si="2"/>
        <v>0.10103629710818471</v>
      </c>
      <c r="J35" s="2"/>
    </row>
    <row r="36" spans="1:10" x14ac:dyDescent="0.35">
      <c r="A36" s="2" t="s">
        <v>7</v>
      </c>
      <c r="B36" s="2" t="s">
        <v>17</v>
      </c>
      <c r="C36" s="2" t="s">
        <v>13</v>
      </c>
      <c r="D36" s="3">
        <v>0.8666666666666667</v>
      </c>
      <c r="E36" s="3">
        <v>0.93333333333333335</v>
      </c>
      <c r="F36" s="3">
        <v>0.8666666666666667</v>
      </c>
      <c r="G36" s="3">
        <v>1</v>
      </c>
      <c r="I36" s="2">
        <f t="shared" si="2"/>
        <v>5.527707983925665E-2</v>
      </c>
      <c r="J36" s="2"/>
    </row>
    <row r="37" spans="1:10" x14ac:dyDescent="0.35">
      <c r="A37" s="2" t="s">
        <v>7</v>
      </c>
      <c r="B37" s="2" t="s">
        <v>18</v>
      </c>
      <c r="C37" s="2" t="s">
        <v>4</v>
      </c>
      <c r="D37" s="3">
        <v>1</v>
      </c>
      <c r="E37" s="3">
        <v>0.8666666666666667</v>
      </c>
      <c r="F37" s="3">
        <v>0.9</v>
      </c>
      <c r="G37" s="3">
        <v>0.8666666666666667</v>
      </c>
      <c r="I37" s="2">
        <f t="shared" si="2"/>
        <v>5.4645321035849993E-2</v>
      </c>
      <c r="J37" s="2"/>
    </row>
    <row r="38" spans="1:10" x14ac:dyDescent="0.35">
      <c r="A38" s="2" t="s">
        <v>7</v>
      </c>
      <c r="B38" s="2" t="s">
        <v>18</v>
      </c>
      <c r="C38" s="2" t="s">
        <v>13</v>
      </c>
      <c r="D38" s="3">
        <v>0.73333333333333328</v>
      </c>
      <c r="E38" s="3">
        <v>0.83333333333333337</v>
      </c>
      <c r="F38" s="3">
        <v>0.76666666666666672</v>
      </c>
      <c r="G38" s="3">
        <v>0.8</v>
      </c>
      <c r="I38" s="2">
        <f t="shared" si="2"/>
        <v>3.7267799624996531E-2</v>
      </c>
      <c r="J38" s="2"/>
    </row>
    <row r="39" spans="1:10" x14ac:dyDescent="0.35">
      <c r="A39" s="2" t="s">
        <v>8</v>
      </c>
      <c r="B39" s="2" t="s">
        <v>3</v>
      </c>
      <c r="C39" s="2" t="s">
        <v>4</v>
      </c>
      <c r="D39" s="3">
        <v>0.5</v>
      </c>
      <c r="E39" s="3">
        <v>0.8666666666666667</v>
      </c>
      <c r="F39" s="3">
        <v>0.53333333333333333</v>
      </c>
      <c r="G39" s="3">
        <v>0.76666666666666672</v>
      </c>
      <c r="I39" s="2">
        <f>_xlfn.STDEV.P(D39:G39)</f>
        <v>0.15456030825826195</v>
      </c>
      <c r="J39" s="2">
        <f>AVERAGE(I39:I50)</f>
        <v>7.3912161851611521E-2</v>
      </c>
    </row>
    <row r="40" spans="1:10" x14ac:dyDescent="0.35">
      <c r="A40" s="2" t="s">
        <v>8</v>
      </c>
      <c r="B40" s="2" t="s">
        <v>3</v>
      </c>
      <c r="C40" s="2" t="s">
        <v>13</v>
      </c>
      <c r="D40" s="3">
        <v>0.8</v>
      </c>
      <c r="E40" s="3">
        <v>0.6</v>
      </c>
      <c r="F40" s="3">
        <v>0.6</v>
      </c>
      <c r="G40" s="3">
        <v>0.6</v>
      </c>
      <c r="I40" s="2">
        <f t="shared" ref="I40:I50" si="3">_xlfn.STDEV.P(D40:G40)</f>
        <v>8.6602540378443268E-2</v>
      </c>
      <c r="J40" s="2"/>
    </row>
    <row r="41" spans="1:10" x14ac:dyDescent="0.35">
      <c r="A41" s="2" t="s">
        <v>8</v>
      </c>
      <c r="B41" s="2" t="s">
        <v>14</v>
      </c>
      <c r="C41" s="2" t="s">
        <v>4</v>
      </c>
      <c r="D41" s="3">
        <v>0.8</v>
      </c>
      <c r="E41" s="3">
        <v>0.66666666666666663</v>
      </c>
      <c r="F41" s="3">
        <v>0.73333333333333328</v>
      </c>
      <c r="G41" s="3">
        <v>0.9</v>
      </c>
      <c r="I41" s="2">
        <f t="shared" si="3"/>
        <v>8.6200670273237995E-2</v>
      </c>
      <c r="J41" s="2"/>
    </row>
    <row r="42" spans="1:10" x14ac:dyDescent="0.35">
      <c r="A42" s="2" t="s">
        <v>8</v>
      </c>
      <c r="B42" s="2" t="s">
        <v>14</v>
      </c>
      <c r="C42" s="2" t="s">
        <v>13</v>
      </c>
      <c r="D42" s="3">
        <v>0.83333333333333337</v>
      </c>
      <c r="E42" s="3">
        <v>0.73333333333333328</v>
      </c>
      <c r="F42" s="3">
        <v>0.8</v>
      </c>
      <c r="G42" s="3">
        <v>0.73333333333333328</v>
      </c>
      <c r="I42" s="2">
        <f t="shared" si="3"/>
        <v>4.3301270189221974E-2</v>
      </c>
      <c r="J42" s="2"/>
    </row>
    <row r="43" spans="1:10" x14ac:dyDescent="0.35">
      <c r="A43" s="2" t="s">
        <v>8</v>
      </c>
      <c r="B43" s="2" t="s">
        <v>15</v>
      </c>
      <c r="C43" s="2" t="s">
        <v>4</v>
      </c>
      <c r="D43" s="3">
        <v>0.76666666666666672</v>
      </c>
      <c r="E43" s="3">
        <v>0.73333333333333328</v>
      </c>
      <c r="F43" s="3">
        <v>0.6</v>
      </c>
      <c r="G43" s="3">
        <v>0.6</v>
      </c>
      <c r="I43" s="2">
        <f t="shared" si="3"/>
        <v>7.592027982620185E-2</v>
      </c>
      <c r="J43" s="2"/>
    </row>
    <row r="44" spans="1:10" x14ac:dyDescent="0.35">
      <c r="A44" s="2" t="s">
        <v>8</v>
      </c>
      <c r="B44" s="2" t="s">
        <v>15</v>
      </c>
      <c r="C44" s="2" t="s">
        <v>13</v>
      </c>
      <c r="D44" s="3">
        <v>0.76666666666666672</v>
      </c>
      <c r="E44" s="3">
        <v>0.76666666666666672</v>
      </c>
      <c r="F44" s="3">
        <v>0.83333333333333337</v>
      </c>
      <c r="G44" s="3">
        <v>0.83333333333333337</v>
      </c>
      <c r="I44" s="2">
        <f t="shared" si="3"/>
        <v>3.3333333333333326E-2</v>
      </c>
      <c r="J44" s="2"/>
    </row>
    <row r="45" spans="1:10" x14ac:dyDescent="0.35">
      <c r="A45" s="2" t="s">
        <v>8</v>
      </c>
      <c r="B45" s="2" t="s">
        <v>16</v>
      </c>
      <c r="C45" s="2" t="s">
        <v>4</v>
      </c>
      <c r="D45" s="3">
        <v>0.9</v>
      </c>
      <c r="E45" s="3">
        <v>1</v>
      </c>
      <c r="F45" s="3">
        <v>1</v>
      </c>
      <c r="G45" s="3">
        <v>0.83333333333333337</v>
      </c>
      <c r="I45" s="2">
        <f t="shared" si="3"/>
        <v>7.0710678118654738E-2</v>
      </c>
      <c r="J45" s="2"/>
    </row>
    <row r="46" spans="1:10" x14ac:dyDescent="0.35">
      <c r="A46" s="2" t="s">
        <v>8</v>
      </c>
      <c r="B46" s="2" t="s">
        <v>16</v>
      </c>
      <c r="C46" s="2" t="s">
        <v>13</v>
      </c>
      <c r="D46" s="3">
        <v>0.8666666666666667</v>
      </c>
      <c r="E46" s="3">
        <v>0.8666666666666667</v>
      </c>
      <c r="F46" s="3">
        <v>0.8666666666666667</v>
      </c>
      <c r="G46" s="3">
        <v>0.93333333333333335</v>
      </c>
      <c r="I46" s="2">
        <f t="shared" si="3"/>
        <v>2.886751345948128E-2</v>
      </c>
      <c r="J46" s="2"/>
    </row>
    <row r="47" spans="1:10" x14ac:dyDescent="0.35">
      <c r="A47" s="2" t="s">
        <v>8</v>
      </c>
      <c r="B47" s="2" t="s">
        <v>17</v>
      </c>
      <c r="C47" s="2" t="s">
        <v>4</v>
      </c>
      <c r="D47" s="3">
        <v>0.73333333333333328</v>
      </c>
      <c r="E47" s="3">
        <v>0.73333333333333328</v>
      </c>
      <c r="F47" s="3">
        <v>0.8</v>
      </c>
      <c r="G47" s="3">
        <v>0.73333333333333328</v>
      </c>
      <c r="I47" s="2">
        <f t="shared" si="3"/>
        <v>2.8867513459481329E-2</v>
      </c>
      <c r="J47" s="2"/>
    </row>
    <row r="48" spans="1:10" x14ac:dyDescent="0.35">
      <c r="A48" s="2" t="s">
        <v>8</v>
      </c>
      <c r="B48" s="2" t="s">
        <v>17</v>
      </c>
      <c r="C48" s="2" t="s">
        <v>13</v>
      </c>
      <c r="D48" s="3">
        <v>0.53333333333333333</v>
      </c>
      <c r="E48" s="3">
        <v>0.6333333333333333</v>
      </c>
      <c r="F48" s="3">
        <v>0.8</v>
      </c>
      <c r="G48" s="3">
        <v>0.66666666666666663</v>
      </c>
      <c r="I48" s="2">
        <f t="shared" si="3"/>
        <v>9.5379359518830156E-2</v>
      </c>
      <c r="J48" s="2"/>
    </row>
    <row r="49" spans="1:10" x14ac:dyDescent="0.35">
      <c r="A49" s="2" t="s">
        <v>8</v>
      </c>
      <c r="B49" s="2" t="s">
        <v>18</v>
      </c>
      <c r="C49" s="2" t="s">
        <v>4</v>
      </c>
      <c r="D49" s="3">
        <v>0.8</v>
      </c>
      <c r="E49" s="3">
        <v>0.73333333333333328</v>
      </c>
      <c r="F49" s="3">
        <v>0.8</v>
      </c>
      <c r="G49" s="3">
        <v>0.93333333333333335</v>
      </c>
      <c r="I49" s="2">
        <f t="shared" si="3"/>
        <v>7.2648315725677912E-2</v>
      </c>
      <c r="J49" s="2"/>
    </row>
    <row r="50" spans="1:10" x14ac:dyDescent="0.35">
      <c r="A50" s="2" t="s">
        <v>8</v>
      </c>
      <c r="B50" s="2" t="s">
        <v>18</v>
      </c>
      <c r="C50" s="2" t="s">
        <v>13</v>
      </c>
      <c r="D50" s="3">
        <v>0.73333333333333328</v>
      </c>
      <c r="E50" s="3">
        <v>0.8666666666666667</v>
      </c>
      <c r="F50" s="3">
        <v>0.6</v>
      </c>
      <c r="G50" s="3">
        <v>0.6</v>
      </c>
      <c r="I50" s="2">
        <f t="shared" si="3"/>
        <v>0.11055415967851243</v>
      </c>
      <c r="J50" s="2"/>
    </row>
    <row r="51" spans="1:10" x14ac:dyDescent="0.35">
      <c r="A51" s="2" t="s">
        <v>9</v>
      </c>
      <c r="B51" s="2" t="s">
        <v>3</v>
      </c>
      <c r="C51" s="2" t="s">
        <v>4</v>
      </c>
      <c r="D51" s="3">
        <v>0.93333333333333335</v>
      </c>
      <c r="E51" s="3">
        <v>0.93333333333333335</v>
      </c>
      <c r="F51" s="3">
        <v>0.8666666666666667</v>
      </c>
      <c r="G51" s="3">
        <v>0.8</v>
      </c>
      <c r="I51" s="2">
        <f>_xlfn.STDEV.P(D51:G51)</f>
        <v>5.5277079839256657E-2</v>
      </c>
      <c r="J51" s="2">
        <f>AVERAGE(I51:I62)</f>
        <v>7.7389622668988814E-2</v>
      </c>
    </row>
    <row r="52" spans="1:10" x14ac:dyDescent="0.35">
      <c r="A52" s="2" t="s">
        <v>9</v>
      </c>
      <c r="B52" s="2" t="s">
        <v>3</v>
      </c>
      <c r="C52" s="2" t="s">
        <v>13</v>
      </c>
      <c r="D52" s="3">
        <v>0.73333333333333328</v>
      </c>
      <c r="E52" s="3">
        <v>0.73333333333333328</v>
      </c>
      <c r="F52" s="3">
        <v>0.8</v>
      </c>
      <c r="G52" s="3">
        <v>0.73333333333333328</v>
      </c>
      <c r="I52" s="2">
        <f t="shared" ref="I52:I62" si="4">_xlfn.STDEV.P(D52:G52)</f>
        <v>2.8867513459481329E-2</v>
      </c>
      <c r="J52" s="2"/>
    </row>
    <row r="53" spans="1:10" x14ac:dyDescent="0.35">
      <c r="A53" s="2" t="s">
        <v>9</v>
      </c>
      <c r="B53" s="2" t="s">
        <v>14</v>
      </c>
      <c r="C53" s="2" t="s">
        <v>4</v>
      </c>
      <c r="D53" s="3">
        <v>0.73333333333333328</v>
      </c>
      <c r="E53" s="3">
        <v>0.66666666666666663</v>
      </c>
      <c r="F53" s="3">
        <v>1</v>
      </c>
      <c r="G53" s="3">
        <v>0.93333333333333335</v>
      </c>
      <c r="I53" s="2">
        <f t="shared" si="4"/>
        <v>0.13743685418725599</v>
      </c>
      <c r="J53" s="2"/>
    </row>
    <row r="54" spans="1:10" x14ac:dyDescent="0.35">
      <c r="A54" s="2" t="s">
        <v>9</v>
      </c>
      <c r="B54" s="2" t="s">
        <v>14</v>
      </c>
      <c r="C54" s="2" t="s">
        <v>13</v>
      </c>
      <c r="D54" s="3">
        <v>0.92592592592592593</v>
      </c>
      <c r="E54" s="3">
        <v>0.85185185185185186</v>
      </c>
      <c r="F54" s="3">
        <v>0.85185185185185186</v>
      </c>
      <c r="G54" s="3">
        <v>0.85185185185185186</v>
      </c>
      <c r="I54" s="2">
        <f t="shared" si="4"/>
        <v>3.2075014954979206E-2</v>
      </c>
      <c r="J54" s="2"/>
    </row>
    <row r="55" spans="1:10" x14ac:dyDescent="0.35">
      <c r="A55" s="2" t="s">
        <v>9</v>
      </c>
      <c r="B55" s="2" t="s">
        <v>15</v>
      </c>
      <c r="C55" s="2" t="s">
        <v>4</v>
      </c>
      <c r="D55" s="3">
        <v>0.93333333333333335</v>
      </c>
      <c r="E55" s="3">
        <v>0.8666666666666667</v>
      </c>
      <c r="F55" s="3">
        <v>0.66666666666666663</v>
      </c>
      <c r="G55" s="3">
        <v>0.8666666666666667</v>
      </c>
      <c r="I55" s="2">
        <f t="shared" si="4"/>
        <v>9.9999999999999492E-2</v>
      </c>
      <c r="J55" s="2"/>
    </row>
    <row r="56" spans="1:10" x14ac:dyDescent="0.35">
      <c r="A56" s="2" t="s">
        <v>9</v>
      </c>
      <c r="B56" s="2" t="s">
        <v>15</v>
      </c>
      <c r="C56" s="2" t="s">
        <v>13</v>
      </c>
      <c r="D56" s="3">
        <v>0.76666666666666672</v>
      </c>
      <c r="E56" s="3">
        <v>0.6</v>
      </c>
      <c r="F56" s="3">
        <v>0.8</v>
      </c>
      <c r="G56" s="3">
        <v>0.66666666666666663</v>
      </c>
      <c r="I56" s="2">
        <f t="shared" si="4"/>
        <v>7.9494933451412064E-2</v>
      </c>
      <c r="J56" s="2"/>
    </row>
    <row r="57" spans="1:10" x14ac:dyDescent="0.35">
      <c r="A57" s="2" t="s">
        <v>9</v>
      </c>
      <c r="B57" s="2" t="s">
        <v>16</v>
      </c>
      <c r="C57" s="2" t="s">
        <v>4</v>
      </c>
      <c r="D57" s="3">
        <v>0.93333333333333335</v>
      </c>
      <c r="E57" s="3">
        <v>0.8666666666666667</v>
      </c>
      <c r="F57" s="3">
        <v>1</v>
      </c>
      <c r="G57" s="3">
        <v>0.8</v>
      </c>
      <c r="I57" s="2">
        <f t="shared" si="4"/>
        <v>7.4535599249992979E-2</v>
      </c>
      <c r="J57" s="2"/>
    </row>
    <row r="58" spans="1:10" x14ac:dyDescent="0.35">
      <c r="A58" s="2" t="s">
        <v>9</v>
      </c>
      <c r="B58" s="2" t="s">
        <v>16</v>
      </c>
      <c r="C58" s="2" t="s">
        <v>13</v>
      </c>
      <c r="D58" s="3">
        <v>1</v>
      </c>
      <c r="E58" s="3">
        <v>0.73333333333333328</v>
      </c>
      <c r="F58" s="3">
        <v>0.9</v>
      </c>
      <c r="G58" s="3">
        <v>0.93333333333333335</v>
      </c>
      <c r="I58" s="2">
        <f t="shared" si="4"/>
        <v>9.8248551021264202E-2</v>
      </c>
      <c r="J58" s="2"/>
    </row>
    <row r="59" spans="1:10" x14ac:dyDescent="0.35">
      <c r="A59" s="2" t="s">
        <v>9</v>
      </c>
      <c r="B59" s="2" t="s">
        <v>17</v>
      </c>
      <c r="C59" s="2" t="s">
        <v>4</v>
      </c>
      <c r="D59" s="3">
        <v>0.8666666666666667</v>
      </c>
      <c r="E59" s="3">
        <v>0.76666666666666672</v>
      </c>
      <c r="F59" s="3">
        <v>0.8666666666666667</v>
      </c>
      <c r="G59" s="3">
        <v>0.8666666666666667</v>
      </c>
      <c r="I59" s="2">
        <f t="shared" si="4"/>
        <v>4.3301270189221926E-2</v>
      </c>
      <c r="J59" s="2"/>
    </row>
    <row r="60" spans="1:10" x14ac:dyDescent="0.35">
      <c r="A60" s="2" t="s">
        <v>9</v>
      </c>
      <c r="B60" s="2" t="s">
        <v>17</v>
      </c>
      <c r="C60" s="2" t="s">
        <v>13</v>
      </c>
      <c r="D60" s="3">
        <v>0.6</v>
      </c>
      <c r="E60" s="3">
        <v>0.6333333333333333</v>
      </c>
      <c r="F60" s="3">
        <v>0.5</v>
      </c>
      <c r="G60" s="3">
        <v>0.73333333333333328</v>
      </c>
      <c r="I60" s="2">
        <f t="shared" si="4"/>
        <v>8.3333333333332857E-2</v>
      </c>
      <c r="J60" s="2"/>
    </row>
    <row r="61" spans="1:10" x14ac:dyDescent="0.35">
      <c r="A61" s="2" t="s">
        <v>9</v>
      </c>
      <c r="B61" s="2" t="s">
        <v>18</v>
      </c>
      <c r="C61" s="2" t="s">
        <v>4</v>
      </c>
      <c r="D61" s="3">
        <v>0.66666666666666663</v>
      </c>
      <c r="E61" s="3">
        <v>0.8</v>
      </c>
      <c r="F61" s="3">
        <v>0.66666666666666663</v>
      </c>
      <c r="G61" s="3">
        <v>0.83333333333333337</v>
      </c>
      <c r="I61" s="2">
        <f t="shared" si="4"/>
        <v>7.5920279826202572E-2</v>
      </c>
      <c r="J61" s="2"/>
    </row>
    <row r="62" spans="1:10" x14ac:dyDescent="0.35">
      <c r="A62" s="2" t="s">
        <v>9</v>
      </c>
      <c r="B62" s="2" t="s">
        <v>18</v>
      </c>
      <c r="C62" s="2" t="s">
        <v>13</v>
      </c>
      <c r="D62" s="3">
        <v>0.8666666666666667</v>
      </c>
      <c r="E62" s="3">
        <v>0.73333333333333328</v>
      </c>
      <c r="F62" s="3">
        <v>0.53333333333333333</v>
      </c>
      <c r="G62" s="3">
        <v>0.66666666666666663</v>
      </c>
      <c r="I62" s="2">
        <f t="shared" si="4"/>
        <v>0.1201850425154667</v>
      </c>
      <c r="J62" s="2"/>
    </row>
    <row r="63" spans="1:10" x14ac:dyDescent="0.35">
      <c r="A63" s="2" t="s">
        <v>10</v>
      </c>
      <c r="B63" s="2" t="s">
        <v>3</v>
      </c>
      <c r="C63" s="2" t="s">
        <v>4</v>
      </c>
      <c r="D63" s="3">
        <v>1</v>
      </c>
      <c r="E63" s="3">
        <v>0.9</v>
      </c>
      <c r="F63" s="3">
        <v>0.93333333333333335</v>
      </c>
      <c r="G63" s="3">
        <v>0.7</v>
      </c>
      <c r="I63" s="2">
        <f>_xlfn.STDEV.P(D63:G63)</f>
        <v>0.11180339887498929</v>
      </c>
      <c r="J63" s="2">
        <f>AVERAGE(I63:I74)</f>
        <v>7.2757860375122385E-2</v>
      </c>
    </row>
    <row r="64" spans="1:10" x14ac:dyDescent="0.35">
      <c r="A64" s="2" t="s">
        <v>10</v>
      </c>
      <c r="B64" s="2" t="s">
        <v>3</v>
      </c>
      <c r="C64" s="2" t="s">
        <v>13</v>
      </c>
      <c r="D64" s="3">
        <v>0.8666666666666667</v>
      </c>
      <c r="E64" s="3">
        <v>0.8666666666666667</v>
      </c>
      <c r="F64" s="3">
        <v>0.8</v>
      </c>
      <c r="G64" s="3">
        <v>0.8</v>
      </c>
      <c r="I64" s="2">
        <f t="shared" ref="I64:I74" si="5">_xlfn.STDEV.P(D64:G64)</f>
        <v>3.3333333333333326E-2</v>
      </c>
      <c r="J64" s="2"/>
    </row>
    <row r="65" spans="1:10" x14ac:dyDescent="0.35">
      <c r="A65" s="2" t="s">
        <v>10</v>
      </c>
      <c r="B65" s="2" t="s">
        <v>14</v>
      </c>
      <c r="C65" s="2" t="s">
        <v>4</v>
      </c>
      <c r="D65" s="3">
        <v>0.56666666666666665</v>
      </c>
      <c r="E65" s="3">
        <v>0.6</v>
      </c>
      <c r="F65" s="3">
        <v>0.6333333333333333</v>
      </c>
      <c r="G65" s="3">
        <v>0.56666666666666665</v>
      </c>
      <c r="I65" s="2">
        <f t="shared" si="5"/>
        <v>2.7638539919628329E-2</v>
      </c>
      <c r="J65" s="2"/>
    </row>
    <row r="66" spans="1:10" x14ac:dyDescent="0.35">
      <c r="A66" s="2" t="s">
        <v>10</v>
      </c>
      <c r="B66" s="2" t="s">
        <v>14</v>
      </c>
      <c r="C66" s="2" t="s">
        <v>13</v>
      </c>
      <c r="D66" s="3">
        <v>0.93333333333333335</v>
      </c>
      <c r="E66" s="3">
        <v>0.96666666666666667</v>
      </c>
      <c r="F66" s="3">
        <v>0.8666666666666667</v>
      </c>
      <c r="G66" s="3">
        <v>0.96666666666666667</v>
      </c>
      <c r="I66" s="2">
        <f t="shared" si="5"/>
        <v>4.0824829046386291E-2</v>
      </c>
      <c r="J66" s="2"/>
    </row>
    <row r="67" spans="1:10" x14ac:dyDescent="0.35">
      <c r="A67" s="2" t="s">
        <v>10</v>
      </c>
      <c r="B67" s="2" t="s">
        <v>15</v>
      </c>
      <c r="C67" s="2" t="s">
        <v>4</v>
      </c>
      <c r="D67" s="3">
        <v>0.7</v>
      </c>
      <c r="E67" s="3">
        <v>0.5</v>
      </c>
      <c r="F67" s="3">
        <v>0.6</v>
      </c>
      <c r="G67" s="3">
        <v>0.6333333333333333</v>
      </c>
      <c r="I67" s="2">
        <f t="shared" si="5"/>
        <v>7.2168783648703855E-2</v>
      </c>
      <c r="J67" s="2"/>
    </row>
    <row r="68" spans="1:10" x14ac:dyDescent="0.35">
      <c r="A68" s="2" t="s">
        <v>10</v>
      </c>
      <c r="B68" s="2" t="s">
        <v>15</v>
      </c>
      <c r="C68" s="2" t="s">
        <v>13</v>
      </c>
      <c r="D68" s="3">
        <v>0.83333333333333337</v>
      </c>
      <c r="E68" s="3">
        <v>0.93333333333333335</v>
      </c>
      <c r="F68" s="3">
        <v>0.93333333333333335</v>
      </c>
      <c r="G68" s="3">
        <v>0.9</v>
      </c>
      <c r="I68" s="2">
        <f t="shared" si="5"/>
        <v>4.0824829046386291E-2</v>
      </c>
      <c r="J68" s="2"/>
    </row>
    <row r="69" spans="1:10" x14ac:dyDescent="0.35">
      <c r="A69" s="2" t="s">
        <v>10</v>
      </c>
      <c r="B69" s="2" t="s">
        <v>16</v>
      </c>
      <c r="C69" s="2" t="s">
        <v>4</v>
      </c>
      <c r="D69" s="3">
        <v>0.93333333333333335</v>
      </c>
      <c r="E69" s="3">
        <v>0.9</v>
      </c>
      <c r="F69" s="3">
        <v>1</v>
      </c>
      <c r="G69" s="3">
        <v>0.8666666666666667</v>
      </c>
      <c r="I69" s="2">
        <f t="shared" si="5"/>
        <v>4.9300664859163457E-2</v>
      </c>
      <c r="J69" s="2"/>
    </row>
    <row r="70" spans="1:10" x14ac:dyDescent="0.35">
      <c r="A70" s="2" t="s">
        <v>10</v>
      </c>
      <c r="B70" s="2" t="s">
        <v>16</v>
      </c>
      <c r="C70" s="2" t="s">
        <v>13</v>
      </c>
      <c r="D70" s="3">
        <v>0.93333333333333335</v>
      </c>
      <c r="E70" s="3">
        <v>1</v>
      </c>
      <c r="F70" s="3">
        <v>0.93333333333333335</v>
      </c>
      <c r="G70" s="3">
        <v>0.8666666666666667</v>
      </c>
      <c r="I70" s="2">
        <f t="shared" si="5"/>
        <v>4.7140452079103161E-2</v>
      </c>
      <c r="J70" s="2"/>
    </row>
    <row r="71" spans="1:10" x14ac:dyDescent="0.35">
      <c r="A71" s="2" t="s">
        <v>10</v>
      </c>
      <c r="B71" s="2" t="s">
        <v>17</v>
      </c>
      <c r="C71" s="2" t="s">
        <v>4</v>
      </c>
      <c r="D71" s="3">
        <v>0.5</v>
      </c>
      <c r="E71" s="3">
        <v>0.53333333333333333</v>
      </c>
      <c r="F71" s="3">
        <v>0.6</v>
      </c>
      <c r="G71" s="3">
        <v>0.46666666666666667</v>
      </c>
      <c r="I71" s="2">
        <f t="shared" si="5"/>
        <v>4.9300664859163457E-2</v>
      </c>
      <c r="J71" s="2"/>
    </row>
    <row r="72" spans="1:10" x14ac:dyDescent="0.35">
      <c r="A72" s="2" t="s">
        <v>10</v>
      </c>
      <c r="B72" s="2" t="s">
        <v>17</v>
      </c>
      <c r="C72" s="2" t="s">
        <v>13</v>
      </c>
      <c r="D72" s="3">
        <v>0.8666666666666667</v>
      </c>
      <c r="E72" s="3">
        <v>0.93333333333333335</v>
      </c>
      <c r="F72" s="3">
        <v>0.8666666666666667</v>
      </c>
      <c r="G72" s="3">
        <v>1</v>
      </c>
      <c r="I72" s="2">
        <f t="shared" si="5"/>
        <v>5.527707983925665E-2</v>
      </c>
      <c r="J72" s="2"/>
    </row>
    <row r="73" spans="1:10" x14ac:dyDescent="0.35">
      <c r="A73" s="2" t="s">
        <v>10</v>
      </c>
      <c r="B73" s="2" t="s">
        <v>18</v>
      </c>
      <c r="C73" s="2" t="s">
        <v>4</v>
      </c>
      <c r="D73" s="3">
        <v>1</v>
      </c>
      <c r="E73" s="3">
        <v>0.33333333333333331</v>
      </c>
      <c r="F73" s="3">
        <v>1</v>
      </c>
      <c r="G73" s="3">
        <v>0.66666666666666663</v>
      </c>
      <c r="I73" s="2">
        <f t="shared" si="5"/>
        <v>0.27638539919628363</v>
      </c>
      <c r="J73" s="2"/>
    </row>
    <row r="74" spans="1:10" x14ac:dyDescent="0.35">
      <c r="A74" s="2" t="s">
        <v>10</v>
      </c>
      <c r="B74" s="2" t="s">
        <v>18</v>
      </c>
      <c r="C74" s="2" t="s">
        <v>13</v>
      </c>
      <c r="D74" s="3">
        <v>0.83333333333333337</v>
      </c>
      <c r="E74" s="3">
        <v>1</v>
      </c>
      <c r="F74" s="3">
        <v>0.91666666666666663</v>
      </c>
      <c r="G74" s="3">
        <v>1</v>
      </c>
      <c r="I74" s="2">
        <f t="shared" si="5"/>
        <v>6.9096349799070825E-2</v>
      </c>
      <c r="J74" s="2"/>
    </row>
    <row r="75" spans="1:10" x14ac:dyDescent="0.35">
      <c r="A75" s="2" t="s">
        <v>11</v>
      </c>
      <c r="B75" s="2" t="s">
        <v>3</v>
      </c>
      <c r="C75" s="2" t="s">
        <v>4</v>
      </c>
      <c r="D75" s="3">
        <v>0.96666666666666667</v>
      </c>
      <c r="E75" s="3">
        <v>0.93333333333333335</v>
      </c>
      <c r="F75" s="3">
        <v>0.96666666666666667</v>
      </c>
      <c r="G75" s="3">
        <v>0.96666666666666667</v>
      </c>
      <c r="I75" s="2">
        <f>_xlfn.STDEV.P(D75:G75)</f>
        <v>1.443375672974064E-2</v>
      </c>
      <c r="J75" s="2">
        <f>AVERAGE(I75:I86)</f>
        <v>2.4009845498561541E-2</v>
      </c>
    </row>
    <row r="76" spans="1:10" x14ac:dyDescent="0.35">
      <c r="A76" s="2" t="s">
        <v>11</v>
      </c>
      <c r="B76" s="2" t="s">
        <v>3</v>
      </c>
      <c r="C76" s="2" t="s">
        <v>13</v>
      </c>
      <c r="D76" s="3">
        <v>1</v>
      </c>
      <c r="E76" s="3">
        <v>0.96666666666666667</v>
      </c>
      <c r="F76" s="3">
        <v>1</v>
      </c>
      <c r="G76" s="3">
        <v>1</v>
      </c>
      <c r="I76" s="2">
        <f t="shared" ref="I76:I86" si="6">_xlfn.STDEV.P(D76:G76)</f>
        <v>1.443375672974064E-2</v>
      </c>
      <c r="J76" s="2"/>
    </row>
    <row r="77" spans="1:10" x14ac:dyDescent="0.35">
      <c r="A77" s="2" t="s">
        <v>11</v>
      </c>
      <c r="B77" s="2" t="s">
        <v>14</v>
      </c>
      <c r="C77" s="2" t="s">
        <v>4</v>
      </c>
      <c r="D77" s="3">
        <v>1</v>
      </c>
      <c r="E77" s="3">
        <v>1</v>
      </c>
      <c r="F77" s="3">
        <v>1</v>
      </c>
      <c r="G77" s="3">
        <v>1</v>
      </c>
      <c r="I77" s="2">
        <f t="shared" si="6"/>
        <v>0</v>
      </c>
      <c r="J77" s="2"/>
    </row>
    <row r="78" spans="1:10" x14ac:dyDescent="0.35">
      <c r="A78" s="2" t="s">
        <v>11</v>
      </c>
      <c r="B78" s="2" t="s">
        <v>14</v>
      </c>
      <c r="C78" s="2" t="s">
        <v>13</v>
      </c>
      <c r="D78" s="3">
        <v>0.93333333333333335</v>
      </c>
      <c r="E78" s="3">
        <v>1</v>
      </c>
      <c r="F78" s="3">
        <v>0.93333333333333335</v>
      </c>
      <c r="G78" s="3">
        <v>1</v>
      </c>
      <c r="I78" s="2">
        <f t="shared" si="6"/>
        <v>3.3333333333333326E-2</v>
      </c>
      <c r="J78" s="2"/>
    </row>
    <row r="79" spans="1:10" x14ac:dyDescent="0.35">
      <c r="A79" s="2" t="s">
        <v>11</v>
      </c>
      <c r="B79" s="2" t="s">
        <v>15</v>
      </c>
      <c r="C79" s="2" t="s">
        <v>4</v>
      </c>
      <c r="D79" s="3">
        <v>0.93333333333333335</v>
      </c>
      <c r="E79" s="3">
        <v>0.96296296296296291</v>
      </c>
      <c r="F79" s="3">
        <v>1</v>
      </c>
      <c r="G79" s="3">
        <v>1</v>
      </c>
      <c r="I79" s="2">
        <f t="shared" si="6"/>
        <v>2.7962349760262038E-2</v>
      </c>
      <c r="J79" s="2"/>
    </row>
    <row r="80" spans="1:10" x14ac:dyDescent="0.35">
      <c r="A80" s="2" t="s">
        <v>11</v>
      </c>
      <c r="B80" s="2" t="s">
        <v>15</v>
      </c>
      <c r="C80" s="2" t="s">
        <v>13</v>
      </c>
      <c r="D80" s="3">
        <v>0.93333333333333335</v>
      </c>
      <c r="E80" s="3">
        <v>1</v>
      </c>
      <c r="F80" s="3">
        <v>0.9</v>
      </c>
      <c r="G80" s="3">
        <v>0.96666666666666667</v>
      </c>
      <c r="I80" s="2">
        <f t="shared" si="6"/>
        <v>3.7267799624996489E-2</v>
      </c>
      <c r="J80" s="2"/>
    </row>
    <row r="81" spans="1:10" x14ac:dyDescent="0.35">
      <c r="A81" s="2" t="s">
        <v>11</v>
      </c>
      <c r="B81" s="2" t="s">
        <v>16</v>
      </c>
      <c r="C81" s="2" t="s">
        <v>4</v>
      </c>
      <c r="D81" s="3">
        <v>0.9</v>
      </c>
      <c r="E81" s="3">
        <v>0.9</v>
      </c>
      <c r="F81" s="3">
        <v>0.9</v>
      </c>
      <c r="G81" s="3">
        <v>1</v>
      </c>
      <c r="I81" s="2">
        <f t="shared" si="6"/>
        <v>4.3301270189221926E-2</v>
      </c>
      <c r="J81" s="2"/>
    </row>
    <row r="82" spans="1:10" x14ac:dyDescent="0.35">
      <c r="A82" s="2" t="s">
        <v>11</v>
      </c>
      <c r="B82" s="2" t="s">
        <v>16</v>
      </c>
      <c r="C82" s="2" t="s">
        <v>13</v>
      </c>
      <c r="D82" s="3">
        <v>0.96666666666666667</v>
      </c>
      <c r="E82" s="3">
        <v>0.96666666666666667</v>
      </c>
      <c r="F82" s="3">
        <v>0.96666666666666667</v>
      </c>
      <c r="G82" s="3">
        <v>0.96666666666666667</v>
      </c>
      <c r="I82" s="2">
        <f t="shared" si="6"/>
        <v>0</v>
      </c>
      <c r="J82" s="2"/>
    </row>
    <row r="83" spans="1:10" x14ac:dyDescent="0.35">
      <c r="A83" s="2" t="s">
        <v>11</v>
      </c>
      <c r="B83" s="2" t="s">
        <v>17</v>
      </c>
      <c r="C83" s="2" t="s">
        <v>4</v>
      </c>
      <c r="D83" s="3">
        <v>1</v>
      </c>
      <c r="E83" s="3">
        <v>0.96666666666666667</v>
      </c>
      <c r="F83" s="3">
        <v>0.96666666666666667</v>
      </c>
      <c r="G83" s="3">
        <v>0.93333333333333335</v>
      </c>
      <c r="I83" s="2">
        <f t="shared" si="6"/>
        <v>2.357022603955158E-2</v>
      </c>
      <c r="J83" s="2"/>
    </row>
    <row r="84" spans="1:10" x14ac:dyDescent="0.35">
      <c r="A84" s="2" t="s">
        <v>11</v>
      </c>
      <c r="B84" s="2" t="s">
        <v>17</v>
      </c>
      <c r="C84" s="2" t="s">
        <v>13</v>
      </c>
      <c r="D84" s="3">
        <v>0.9</v>
      </c>
      <c r="E84" s="3">
        <v>1</v>
      </c>
      <c r="F84" s="3">
        <v>1</v>
      </c>
      <c r="G84" s="3">
        <v>0.96666666666666667</v>
      </c>
      <c r="I84" s="2">
        <f t="shared" si="6"/>
        <v>4.0824829046386291E-2</v>
      </c>
      <c r="J84" s="2"/>
    </row>
    <row r="85" spans="1:10" x14ac:dyDescent="0.35">
      <c r="A85" s="2" t="s">
        <v>11</v>
      </c>
      <c r="B85" s="2" t="s">
        <v>18</v>
      </c>
      <c r="C85" s="2" t="s">
        <v>4</v>
      </c>
      <c r="D85" s="3">
        <v>0.9</v>
      </c>
      <c r="E85" s="3">
        <v>0.93333333333333335</v>
      </c>
      <c r="F85" s="3">
        <v>0.93333333333333335</v>
      </c>
      <c r="G85" s="3">
        <v>1</v>
      </c>
      <c r="I85" s="2">
        <f t="shared" si="6"/>
        <v>3.6324157862838935E-2</v>
      </c>
      <c r="J85" s="2"/>
    </row>
    <row r="86" spans="1:10" x14ac:dyDescent="0.35">
      <c r="A86" s="2" t="s">
        <v>11</v>
      </c>
      <c r="B86" s="2" t="s">
        <v>18</v>
      </c>
      <c r="C86" s="2" t="s">
        <v>13</v>
      </c>
      <c r="D86" s="3">
        <v>0.96666666666666667</v>
      </c>
      <c r="E86" s="3">
        <v>1</v>
      </c>
      <c r="F86" s="3">
        <v>1</v>
      </c>
      <c r="G86" s="3">
        <v>0.96666666666666667</v>
      </c>
      <c r="I86" s="2">
        <f t="shared" si="6"/>
        <v>1.6666666666666663E-2</v>
      </c>
      <c r="J86" s="2"/>
    </row>
    <row r="87" spans="1:10" x14ac:dyDescent="0.35">
      <c r="A87" s="2" t="s">
        <v>12</v>
      </c>
      <c r="B87" s="2" t="s">
        <v>3</v>
      </c>
      <c r="C87" s="2" t="s">
        <v>4</v>
      </c>
      <c r="D87" s="3">
        <v>0.8</v>
      </c>
      <c r="E87" s="3">
        <v>0.8</v>
      </c>
      <c r="F87" s="3">
        <v>0.76666666666666672</v>
      </c>
      <c r="G87" s="3">
        <v>0.6</v>
      </c>
      <c r="I87" s="2">
        <f>_xlfn.STDEV.P(D87:G87)</f>
        <v>8.2915619758884784E-2</v>
      </c>
      <c r="J87" s="2">
        <f>AVERAGE(I87:I98)</f>
        <v>7.7224310738628885E-2</v>
      </c>
    </row>
    <row r="88" spans="1:10" x14ac:dyDescent="0.35">
      <c r="A88" s="2" t="s">
        <v>12</v>
      </c>
      <c r="B88" s="2" t="s">
        <v>3</v>
      </c>
      <c r="C88" s="2" t="s">
        <v>13</v>
      </c>
      <c r="D88" s="3">
        <v>0.8</v>
      </c>
      <c r="E88" s="3">
        <v>0.73333333333333328</v>
      </c>
      <c r="F88" s="3">
        <v>0.8666666666666667</v>
      </c>
      <c r="G88" s="3">
        <v>0.73333333333333328</v>
      </c>
      <c r="I88" s="2">
        <f t="shared" ref="I88:I98" si="7">_xlfn.STDEV.P(D88:G88)</f>
        <v>5.5277079839256699E-2</v>
      </c>
      <c r="J88" s="2"/>
    </row>
    <row r="89" spans="1:10" x14ac:dyDescent="0.35">
      <c r="A89" s="2" t="s">
        <v>12</v>
      </c>
      <c r="B89" s="2" t="s">
        <v>14</v>
      </c>
      <c r="C89" s="2" t="s">
        <v>4</v>
      </c>
      <c r="D89" s="3">
        <v>0.73333333333333328</v>
      </c>
      <c r="E89" s="3">
        <v>0.83333333333333337</v>
      </c>
      <c r="F89" s="3">
        <v>0.56666666666666665</v>
      </c>
      <c r="G89" s="3">
        <v>0.6</v>
      </c>
      <c r="I89" s="2">
        <f t="shared" si="7"/>
        <v>0.10671873729054723</v>
      </c>
      <c r="J89" s="2"/>
    </row>
    <row r="90" spans="1:10" x14ac:dyDescent="0.35">
      <c r="A90" s="2" t="s">
        <v>12</v>
      </c>
      <c r="B90" s="2" t="s">
        <v>14</v>
      </c>
      <c r="C90" s="2" t="s">
        <v>13</v>
      </c>
      <c r="D90" s="3">
        <v>0.66666666666666663</v>
      </c>
      <c r="E90" s="3">
        <v>0.66666666666666663</v>
      </c>
      <c r="F90" s="3">
        <v>0.8</v>
      </c>
      <c r="G90" s="3">
        <v>0.8</v>
      </c>
      <c r="I90" s="2">
        <f t="shared" si="7"/>
        <v>6.6666666666666707E-2</v>
      </c>
      <c r="J90" s="2"/>
    </row>
    <row r="91" spans="1:10" x14ac:dyDescent="0.35">
      <c r="A91" s="2" t="s">
        <v>12</v>
      </c>
      <c r="B91" s="2" t="s">
        <v>15</v>
      </c>
      <c r="C91" s="2" t="s">
        <v>4</v>
      </c>
      <c r="D91" s="3">
        <v>0.66666666666666663</v>
      </c>
      <c r="E91" s="3">
        <v>0.6</v>
      </c>
      <c r="F91" s="3">
        <v>0.8</v>
      </c>
      <c r="G91" s="3">
        <v>0.8</v>
      </c>
      <c r="I91" s="2">
        <f t="shared" si="7"/>
        <v>8.6602540378445503E-2</v>
      </c>
      <c r="J91" s="2"/>
    </row>
    <row r="92" spans="1:10" x14ac:dyDescent="0.35">
      <c r="A92" s="2" t="s">
        <v>12</v>
      </c>
      <c r="B92" s="2" t="s">
        <v>15</v>
      </c>
      <c r="C92" s="2" t="s">
        <v>13</v>
      </c>
      <c r="D92" s="3">
        <v>0.8666666666666667</v>
      </c>
      <c r="E92" s="3">
        <v>0.66666666666666663</v>
      </c>
      <c r="F92" s="3">
        <v>0.66666666666666663</v>
      </c>
      <c r="G92" s="3">
        <v>0.8</v>
      </c>
      <c r="I92" s="2">
        <f t="shared" si="7"/>
        <v>8.6602540378444226E-2</v>
      </c>
      <c r="J92" s="2"/>
    </row>
    <row r="93" spans="1:10" x14ac:dyDescent="0.35">
      <c r="A93" s="2" t="s">
        <v>12</v>
      </c>
      <c r="B93" s="2" t="s">
        <v>16</v>
      </c>
      <c r="C93" s="2" t="s">
        <v>4</v>
      </c>
      <c r="D93" s="3">
        <v>0.73333333333333328</v>
      </c>
      <c r="E93" s="3">
        <v>0.7</v>
      </c>
      <c r="F93" s="3">
        <v>0.66666666666666663</v>
      </c>
      <c r="G93" s="3">
        <v>0.56666666666666665</v>
      </c>
      <c r="I93" s="2">
        <f t="shared" si="7"/>
        <v>6.2360956446232345E-2</v>
      </c>
      <c r="J93" s="2"/>
    </row>
    <row r="94" spans="1:10" x14ac:dyDescent="0.35">
      <c r="A94" s="2" t="s">
        <v>12</v>
      </c>
      <c r="B94" s="2" t="s">
        <v>16</v>
      </c>
      <c r="C94" s="2" t="s">
        <v>13</v>
      </c>
      <c r="D94" s="3">
        <v>0.73333333333333328</v>
      </c>
      <c r="E94" s="3">
        <v>0.8</v>
      </c>
      <c r="F94" s="3">
        <v>0.66666666666666663</v>
      </c>
      <c r="G94" s="3">
        <v>0.8666666666666667</v>
      </c>
      <c r="I94" s="2">
        <f t="shared" si="7"/>
        <v>7.453559924999302E-2</v>
      </c>
      <c r="J94" s="2"/>
    </row>
    <row r="95" spans="1:10" x14ac:dyDescent="0.35">
      <c r="A95" s="2" t="s">
        <v>12</v>
      </c>
      <c r="B95" s="2" t="s">
        <v>17</v>
      </c>
      <c r="C95" s="2" t="s">
        <v>4</v>
      </c>
      <c r="D95" s="3">
        <v>0.53333333333333333</v>
      </c>
      <c r="E95" s="3">
        <v>0.6</v>
      </c>
      <c r="F95" s="3">
        <v>0.76666666666666672</v>
      </c>
      <c r="G95" s="3">
        <v>0.73333333333333328</v>
      </c>
      <c r="I95" s="2">
        <f t="shared" si="7"/>
        <v>9.5379359518829865E-2</v>
      </c>
      <c r="J95" s="2"/>
    </row>
    <row r="96" spans="1:10" x14ac:dyDescent="0.35">
      <c r="A96" s="2" t="s">
        <v>12</v>
      </c>
      <c r="B96" s="2" t="s">
        <v>17</v>
      </c>
      <c r="C96" s="2" t="s">
        <v>13</v>
      </c>
      <c r="D96" s="3">
        <v>0.66666666666666663</v>
      </c>
      <c r="E96" s="3">
        <v>0.66666666666666663</v>
      </c>
      <c r="F96" s="3">
        <v>0.53333333333333333</v>
      </c>
      <c r="G96" s="3">
        <v>0.8</v>
      </c>
      <c r="I96" s="2">
        <f t="shared" si="7"/>
        <v>9.4280904158206058E-2</v>
      </c>
      <c r="J96" s="2"/>
    </row>
    <row r="97" spans="1:10" x14ac:dyDescent="0.35">
      <c r="A97" s="2" t="s">
        <v>12</v>
      </c>
      <c r="B97" s="2" t="s">
        <v>18</v>
      </c>
      <c r="C97" s="2" t="s">
        <v>4</v>
      </c>
      <c r="D97" s="3">
        <v>0.6</v>
      </c>
      <c r="E97" s="3">
        <v>0.76666666666666672</v>
      </c>
      <c r="F97" s="3">
        <v>0.66666666666666663</v>
      </c>
      <c r="G97" s="3">
        <v>0.6</v>
      </c>
      <c r="I97" s="2">
        <f t="shared" si="7"/>
        <v>6.8211273098937125E-2</v>
      </c>
      <c r="J97" s="2"/>
    </row>
    <row r="98" spans="1:10" x14ac:dyDescent="0.35">
      <c r="A98" s="2" t="s">
        <v>12</v>
      </c>
      <c r="B98" s="2" t="s">
        <v>18</v>
      </c>
      <c r="C98" s="2" t="s">
        <v>13</v>
      </c>
      <c r="D98" s="3">
        <v>0.53333333333333333</v>
      </c>
      <c r="E98" s="3">
        <v>0.66666666666666663</v>
      </c>
      <c r="F98" s="3">
        <v>0.6</v>
      </c>
      <c r="G98" s="3">
        <v>0.6</v>
      </c>
      <c r="I98" s="2">
        <f t="shared" si="7"/>
        <v>4.7140452079103161E-2</v>
      </c>
      <c r="J98" s="2"/>
    </row>
  </sheetData>
  <pageMargins left="0.75" right="0.75" top="1" bottom="1" header="0.5" footer="0.5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"/>
  <sheetViews>
    <sheetView workbookViewId="0">
      <selection activeCell="K1" sqref="K1:Q1048576"/>
    </sheetView>
  </sheetViews>
  <sheetFormatPr defaultRowHeight="14.5" x14ac:dyDescent="0.35"/>
  <cols>
    <col min="1" max="1" width="15.54296875" bestFit="1" customWidth="1"/>
    <col min="2" max="2" width="8.26953125" bestFit="1" customWidth="1"/>
    <col min="3" max="3" width="8.26953125" customWidth="1"/>
    <col min="4" max="4" width="12" bestFit="1" customWidth="1"/>
  </cols>
  <sheetData>
    <row r="1" spans="1:8" x14ac:dyDescent="0.35">
      <c r="A1" s="2"/>
      <c r="B1" s="2"/>
      <c r="C1" s="4"/>
      <c r="D1" s="4"/>
      <c r="E1" s="4"/>
      <c r="F1" s="4"/>
      <c r="G1" s="4"/>
    </row>
    <row r="2" spans="1:8" x14ac:dyDescent="0.35">
      <c r="A2" s="1" t="s">
        <v>0</v>
      </c>
      <c r="B2" s="1" t="s">
        <v>1</v>
      </c>
      <c r="C2" s="4" t="s">
        <v>21</v>
      </c>
      <c r="D2" s="4" t="s">
        <v>19</v>
      </c>
      <c r="E2" s="4" t="s">
        <v>22</v>
      </c>
      <c r="F2" s="4" t="s">
        <v>20</v>
      </c>
      <c r="G2" s="4" t="s">
        <v>23</v>
      </c>
      <c r="H2" s="4" t="s">
        <v>23</v>
      </c>
    </row>
    <row r="3" spans="1:8" x14ac:dyDescent="0.35">
      <c r="A3" s="2" t="s">
        <v>3</v>
      </c>
      <c r="B3" s="2" t="s">
        <v>4</v>
      </c>
      <c r="C3" s="3">
        <v>0.79166666666666663</v>
      </c>
      <c r="D3" s="3">
        <v>0.82916666666666672</v>
      </c>
      <c r="E3" s="3">
        <v>0.82916666666666672</v>
      </c>
      <c r="F3" s="3">
        <v>0.8</v>
      </c>
      <c r="G3" s="10">
        <f>AVERAGE(C3:F3)</f>
        <v>0.8125</v>
      </c>
      <c r="H3" s="11">
        <f>AVERAGE(G3:G4)</f>
        <v>0.80572916666666672</v>
      </c>
    </row>
    <row r="4" spans="1:8" x14ac:dyDescent="0.35">
      <c r="A4" s="2" t="s">
        <v>3</v>
      </c>
      <c r="B4" s="2" t="s">
        <v>13</v>
      </c>
      <c r="C4" s="3">
        <v>0.81666666666666665</v>
      </c>
      <c r="D4" s="3">
        <v>0.77083333333333337</v>
      </c>
      <c r="E4" s="3">
        <v>0.8</v>
      </c>
      <c r="F4" s="3">
        <v>0.80833333333333335</v>
      </c>
      <c r="G4" s="10">
        <f t="shared" ref="G4:G14" si="0">AVERAGE(C4:F4)</f>
        <v>0.79895833333333344</v>
      </c>
      <c r="H4" s="11"/>
    </row>
    <row r="5" spans="1:8" x14ac:dyDescent="0.35">
      <c r="A5" s="2" t="s">
        <v>14</v>
      </c>
      <c r="B5" s="2" t="s">
        <v>4</v>
      </c>
      <c r="C5" s="3">
        <v>0.81666666666666665</v>
      </c>
      <c r="D5" s="3">
        <v>0.79166666666666663</v>
      </c>
      <c r="E5" s="3">
        <v>0.81666666666666665</v>
      </c>
      <c r="F5" s="3">
        <v>0.81666666666666665</v>
      </c>
      <c r="G5" s="10">
        <f t="shared" si="0"/>
        <v>0.81041666666666656</v>
      </c>
      <c r="H5" s="11">
        <f>AVERAGE(G5:G6)</f>
        <v>0.84244462025316447</v>
      </c>
    </row>
    <row r="6" spans="1:8" x14ac:dyDescent="0.35">
      <c r="A6" s="2" t="s">
        <v>14</v>
      </c>
      <c r="B6" s="2" t="s">
        <v>13</v>
      </c>
      <c r="C6" s="3">
        <v>0.85654008438818563</v>
      </c>
      <c r="D6" s="3">
        <v>0.86919831223628696</v>
      </c>
      <c r="E6" s="3">
        <v>0.87763713080168781</v>
      </c>
      <c r="F6" s="3">
        <v>0.89451476793248941</v>
      </c>
      <c r="G6" s="10">
        <f t="shared" si="0"/>
        <v>0.87447257383966237</v>
      </c>
      <c r="H6" s="11"/>
    </row>
    <row r="7" spans="1:8" x14ac:dyDescent="0.35">
      <c r="A7" s="2" t="s">
        <v>15</v>
      </c>
      <c r="B7" s="2" t="s">
        <v>4</v>
      </c>
      <c r="C7" s="3">
        <v>0.82499999999999996</v>
      </c>
      <c r="D7" s="3">
        <v>0.75527426160337552</v>
      </c>
      <c r="E7" s="3">
        <v>0.79166666666666663</v>
      </c>
      <c r="F7" s="3">
        <v>0.8208333333333333</v>
      </c>
      <c r="G7" s="10">
        <f t="shared" si="0"/>
        <v>0.79819356540084385</v>
      </c>
      <c r="H7" s="11">
        <f>AVERAGE(G7:G8)</f>
        <v>0.82045094936708862</v>
      </c>
    </row>
    <row r="8" spans="1:8" x14ac:dyDescent="0.35">
      <c r="A8" s="2" t="s">
        <v>15</v>
      </c>
      <c r="B8" s="2" t="s">
        <v>13</v>
      </c>
      <c r="C8" s="3">
        <v>0.80833333333333335</v>
      </c>
      <c r="D8" s="3">
        <v>0.83750000000000002</v>
      </c>
      <c r="E8" s="3">
        <v>0.85833333333333328</v>
      </c>
      <c r="F8" s="3">
        <v>0.8666666666666667</v>
      </c>
      <c r="G8" s="10">
        <f t="shared" si="0"/>
        <v>0.84270833333333339</v>
      </c>
      <c r="H8" s="11"/>
    </row>
    <row r="9" spans="1:8" x14ac:dyDescent="0.35">
      <c r="A9" s="2" t="s">
        <v>16</v>
      </c>
      <c r="B9" s="2" t="s">
        <v>4</v>
      </c>
      <c r="C9" s="3">
        <v>0.86250000000000004</v>
      </c>
      <c r="D9" s="3">
        <v>0.89583333333333337</v>
      </c>
      <c r="E9" s="3">
        <v>0.8833333333333333</v>
      </c>
      <c r="F9" s="3">
        <v>0.8041666666666667</v>
      </c>
      <c r="G9" s="10">
        <f t="shared" si="0"/>
        <v>0.86145833333333333</v>
      </c>
      <c r="H9" s="11">
        <f>AVERAGE(G9:G10)</f>
        <v>0.86406249999999996</v>
      </c>
    </row>
    <row r="10" spans="1:8" x14ac:dyDescent="0.35">
      <c r="A10" s="2" t="s">
        <v>16</v>
      </c>
      <c r="B10" s="2" t="s">
        <v>13</v>
      </c>
      <c r="C10" s="3">
        <v>0.82916666666666672</v>
      </c>
      <c r="D10" s="3">
        <v>0.89583333333333337</v>
      </c>
      <c r="E10" s="3">
        <v>0.84166666666666667</v>
      </c>
      <c r="F10" s="3">
        <v>0.9</v>
      </c>
      <c r="G10" s="10">
        <f t="shared" si="0"/>
        <v>0.8666666666666667</v>
      </c>
      <c r="H10" s="11"/>
    </row>
    <row r="11" spans="1:8" x14ac:dyDescent="0.35">
      <c r="A11" s="2" t="s">
        <v>17</v>
      </c>
      <c r="B11" s="2" t="s">
        <v>4</v>
      </c>
      <c r="C11" s="3">
        <v>0.7583333333333333</v>
      </c>
      <c r="D11" s="3">
        <v>0.7583333333333333</v>
      </c>
      <c r="E11" s="3">
        <v>0.78333333333333333</v>
      </c>
      <c r="F11" s="3">
        <v>0.78749999999999998</v>
      </c>
      <c r="G11" s="10">
        <f t="shared" si="0"/>
        <v>0.77187499999999998</v>
      </c>
      <c r="H11" s="11">
        <f>AVERAGE(G11:G12)</f>
        <v>0.79062500000000002</v>
      </c>
    </row>
    <row r="12" spans="1:8" x14ac:dyDescent="0.35">
      <c r="A12" s="2" t="s">
        <v>17</v>
      </c>
      <c r="B12" s="2" t="s">
        <v>13</v>
      </c>
      <c r="C12" s="3">
        <v>0.75416666666666665</v>
      </c>
      <c r="D12" s="3">
        <v>0.82916666666666672</v>
      </c>
      <c r="E12" s="3">
        <v>0.78749999999999998</v>
      </c>
      <c r="F12" s="3">
        <v>0.8666666666666667</v>
      </c>
      <c r="G12" s="10">
        <f t="shared" si="0"/>
        <v>0.80937500000000007</v>
      </c>
      <c r="H12" s="11"/>
    </row>
    <row r="13" spans="1:8" x14ac:dyDescent="0.35">
      <c r="A13" s="2" t="s">
        <v>18</v>
      </c>
      <c r="B13" s="2" t="s">
        <v>4</v>
      </c>
      <c r="C13" s="3">
        <v>0.8041666666666667</v>
      </c>
      <c r="D13" s="3">
        <v>0.7583333333333333</v>
      </c>
      <c r="E13" s="3">
        <v>0.78333333333333333</v>
      </c>
      <c r="F13" s="3">
        <v>0.80416666666666659</v>
      </c>
      <c r="G13" s="10">
        <f t="shared" si="0"/>
        <v>0.78749999999999998</v>
      </c>
      <c r="H13" s="11">
        <f>AVERAGE(G13:G14)</f>
        <v>0.79661458333333335</v>
      </c>
    </row>
    <row r="14" spans="1:8" x14ac:dyDescent="0.35">
      <c r="A14" s="2" t="s">
        <v>18</v>
      </c>
      <c r="B14" s="2" t="s">
        <v>13</v>
      </c>
      <c r="C14" s="3">
        <v>0.79166666666666663</v>
      </c>
      <c r="D14" s="3">
        <v>0.85416666666666674</v>
      </c>
      <c r="E14" s="3">
        <v>0.77708333333333335</v>
      </c>
      <c r="F14" s="3">
        <v>0.79999999999999993</v>
      </c>
      <c r="G14" s="10">
        <f t="shared" si="0"/>
        <v>0.80572916666666661</v>
      </c>
      <c r="H14" s="11"/>
    </row>
    <row r="16" spans="1:8" x14ac:dyDescent="0.35">
      <c r="C16" s="6"/>
    </row>
  </sheetData>
  <mergeCells count="6">
    <mergeCell ref="H13:H14"/>
    <mergeCell ref="H3:H4"/>
    <mergeCell ref="H5:H6"/>
    <mergeCell ref="H7:H8"/>
    <mergeCell ref="H9:H10"/>
    <mergeCell ref="H11:H1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selection activeCell="M15" sqref="M15"/>
    </sheetView>
  </sheetViews>
  <sheetFormatPr defaultRowHeight="14.5" x14ac:dyDescent="0.35"/>
  <cols>
    <col min="1" max="1" width="18.7265625" bestFit="1" customWidth="1"/>
    <col min="2" max="3" width="11.1796875" bestFit="1" customWidth="1"/>
    <col min="4" max="5" width="11" bestFit="1" customWidth="1"/>
    <col min="6" max="6" width="11.7265625" bestFit="1" customWidth="1"/>
  </cols>
  <sheetData>
    <row r="1" spans="1:6" x14ac:dyDescent="0.35">
      <c r="A1" s="2"/>
      <c r="B1" s="4"/>
      <c r="C1" s="4"/>
      <c r="D1" s="4"/>
      <c r="E1" s="4"/>
      <c r="F1" s="4"/>
    </row>
    <row r="2" spans="1:6" x14ac:dyDescent="0.35">
      <c r="A2" s="5" t="s">
        <v>2</v>
      </c>
      <c r="B2" s="4" t="s">
        <v>21</v>
      </c>
      <c r="C2" s="4" t="s">
        <v>19</v>
      </c>
      <c r="D2" s="4" t="s">
        <v>22</v>
      </c>
      <c r="E2" s="4" t="s">
        <v>20</v>
      </c>
      <c r="F2" s="4" t="s">
        <v>23</v>
      </c>
    </row>
    <row r="3" spans="1:6" x14ac:dyDescent="0.35">
      <c r="A3" s="2" t="s">
        <v>5</v>
      </c>
      <c r="B3" s="2">
        <v>0.84699999999999998</v>
      </c>
      <c r="C3" s="2">
        <v>0.92200000000000004</v>
      </c>
      <c r="D3" s="2">
        <v>0.84199999999999997</v>
      </c>
      <c r="E3" s="2">
        <v>0.92500000000000004</v>
      </c>
      <c r="F3" s="5">
        <v>0.88400000000000001</v>
      </c>
    </row>
    <row r="4" spans="1:6" x14ac:dyDescent="0.35">
      <c r="A4" s="2" t="s">
        <v>6</v>
      </c>
      <c r="B4" s="2">
        <v>0.73599999999999999</v>
      </c>
      <c r="C4" s="2">
        <v>0.76100000000000001</v>
      </c>
      <c r="D4" s="2">
        <v>0.81100000000000005</v>
      </c>
      <c r="E4" s="2">
        <v>0.76700000000000002</v>
      </c>
      <c r="F4" s="9">
        <v>0.76900000000000002</v>
      </c>
    </row>
    <row r="5" spans="1:6" x14ac:dyDescent="0.35">
      <c r="A5" s="2" t="s">
        <v>7</v>
      </c>
      <c r="B5" s="2">
        <v>0.83599999999999997</v>
      </c>
      <c r="C5" s="2">
        <v>0.88300000000000001</v>
      </c>
      <c r="D5" s="2">
        <v>0.86399999999999999</v>
      </c>
      <c r="E5" s="2">
        <v>0.91100000000000003</v>
      </c>
      <c r="F5" s="9">
        <v>0.874</v>
      </c>
    </row>
    <row r="6" spans="1:6" x14ac:dyDescent="0.35">
      <c r="A6" s="2" t="s">
        <v>8</v>
      </c>
      <c r="B6" s="2">
        <v>0.753</v>
      </c>
      <c r="C6" s="2">
        <v>0.76700000000000002</v>
      </c>
      <c r="D6" s="2">
        <v>0.747</v>
      </c>
      <c r="E6" s="2">
        <v>0.76100000000000001</v>
      </c>
      <c r="F6" s="5">
        <v>0.75700000000000001</v>
      </c>
    </row>
    <row r="7" spans="1:6" x14ac:dyDescent="0.35">
      <c r="A7" s="2" t="s">
        <v>9</v>
      </c>
      <c r="B7" s="2">
        <v>0.83</v>
      </c>
      <c r="C7" s="2">
        <v>0.76500000000000001</v>
      </c>
      <c r="D7" s="2">
        <v>0.78800000000000003</v>
      </c>
      <c r="E7" s="2">
        <v>0.80700000000000005</v>
      </c>
      <c r="F7" s="5">
        <v>0.79800000000000004</v>
      </c>
    </row>
    <row r="8" spans="1:6" x14ac:dyDescent="0.35">
      <c r="A8" s="2" t="s">
        <v>10</v>
      </c>
      <c r="B8" s="2">
        <v>0.83099999999999996</v>
      </c>
      <c r="C8" s="2">
        <v>0.78900000000000003</v>
      </c>
      <c r="D8" s="2">
        <v>0.84</v>
      </c>
      <c r="E8" s="2">
        <v>0.78600000000000003</v>
      </c>
      <c r="F8" s="5">
        <v>0.81100000000000005</v>
      </c>
    </row>
    <row r="9" spans="1:6" x14ac:dyDescent="0.35">
      <c r="A9" s="2" t="s">
        <v>11</v>
      </c>
      <c r="B9" s="2">
        <v>0.95</v>
      </c>
      <c r="C9" s="2">
        <v>0.96899999999999997</v>
      </c>
      <c r="D9" s="2">
        <v>0.96399999999999997</v>
      </c>
      <c r="E9" s="2">
        <v>0.98099999999999998</v>
      </c>
      <c r="F9" s="8">
        <v>0.96599999999999997</v>
      </c>
    </row>
    <row r="10" spans="1:6" x14ac:dyDescent="0.35">
      <c r="A10" s="2" t="s">
        <v>12</v>
      </c>
      <c r="B10" s="2">
        <v>0.69399999999999995</v>
      </c>
      <c r="C10" s="2">
        <v>0.70799999999999996</v>
      </c>
      <c r="D10" s="2">
        <v>0.69699999999999995</v>
      </c>
      <c r="E10" s="2">
        <v>0.70799999999999996</v>
      </c>
      <c r="F10" s="7">
        <v>0.70199999999999996</v>
      </c>
    </row>
  </sheetData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Per_Model_Context_Criterion</vt:lpstr>
      <vt:lpstr>Per_Criterion_Model_Context</vt:lpstr>
      <vt:lpstr>Per_Model_Context</vt:lpstr>
      <vt:lpstr>Per_Criterion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2026-05-11T06:23:54Z</dcterms:created>
  <dcterms:modified xsi:type="dcterms:W3CDTF">2026-10-04T16:05:05Z</dcterms:modified>
</cp:coreProperties>
</file>